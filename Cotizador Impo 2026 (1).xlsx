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porate" sheetId="1" r:id="rId4"/>
    <sheet state="visible" name="Costs" sheetId="2" r:id="rId5"/>
    <sheet state="visible" name="FedEx" sheetId="3" r:id="rId6"/>
    <sheet state="visible" name="UPS" sheetId="4" r:id="rId7"/>
    <sheet state="visible" name="Areas" sheetId="5" r:id="rId8"/>
  </sheets>
  <definedNames/>
  <calcPr/>
  <extLst>
    <ext uri="GoogleSheetsCustomDataVersion2">
      <go:sheetsCustomData xmlns:go="http://customooxmlschemas.google.com/" r:id="rId9" roundtripDataChecksum="jkgNdd0SbKHq+GbysH6WBqzNK9x1g5jb4yMkQE3Iu6Q="/>
    </ext>
  </extLst>
</workbook>
</file>

<file path=xl/sharedStrings.xml><?xml version="1.0" encoding="utf-8"?>
<sst xmlns="http://schemas.openxmlformats.org/spreadsheetml/2006/main" count="339" uniqueCount="232">
  <si>
    <t xml:space="preserve">Standard </t>
  </si>
  <si>
    <t>Express</t>
  </si>
  <si>
    <t>Economy</t>
  </si>
  <si>
    <t>Zone 1</t>
  </si>
  <si>
    <t>Country:</t>
  </si>
  <si>
    <t>Zone 2</t>
  </si>
  <si>
    <t>Zone 3</t>
  </si>
  <si>
    <t>Zone 4</t>
  </si>
  <si>
    <t>Zone 5</t>
  </si>
  <si>
    <t>Zone 6</t>
  </si>
  <si>
    <t>Colombia</t>
  </si>
  <si>
    <t>Priority</t>
  </si>
  <si>
    <t>Margin</t>
  </si>
  <si>
    <t>Connect Plus</t>
  </si>
  <si>
    <t>Sobre</t>
  </si>
  <si>
    <t>Fuel</t>
  </si>
  <si>
    <t>Zone 7</t>
  </si>
  <si>
    <t>STANDARD</t>
  </si>
  <si>
    <t>CONNECT PLUS</t>
  </si>
  <si>
    <t>EXPRESS</t>
  </si>
  <si>
    <t>Best Price</t>
  </si>
  <si>
    <t>Courier</t>
  </si>
  <si>
    <t>Gross Margin</t>
  </si>
  <si>
    <t>Final Price</t>
  </si>
  <si>
    <t>Courrier</t>
  </si>
  <si>
    <t>Standard</t>
  </si>
  <si>
    <t>Connect</t>
  </si>
  <si>
    <t>Estados Unidos</t>
  </si>
  <si>
    <t>32 - 44</t>
  </si>
  <si>
    <t>45 - 67</t>
  </si>
  <si>
    <t>68 - 70</t>
  </si>
  <si>
    <t>71 - 99</t>
  </si>
  <si>
    <t>100 - 299</t>
  </si>
  <si>
    <t>300 - 499</t>
  </si>
  <si>
    <t>500 - 999</t>
  </si>
  <si>
    <t>+1,000</t>
  </si>
  <si>
    <t xml:space="preserve"> + 1 kg</t>
  </si>
  <si>
    <t>UPS</t>
  </si>
  <si>
    <t>FedEx</t>
  </si>
  <si>
    <t>3onne3t plus</t>
  </si>
  <si>
    <t>Afganistán</t>
  </si>
  <si>
    <t>Albania</t>
  </si>
  <si>
    <t>Alemania</t>
  </si>
  <si>
    <t>Angola</t>
  </si>
  <si>
    <t>Anguila</t>
  </si>
  <si>
    <t>Antigua y Barbuda</t>
  </si>
  <si>
    <t>Arabia Saudita</t>
  </si>
  <si>
    <t>Argelia</t>
  </si>
  <si>
    <t>Armenia</t>
  </si>
  <si>
    <t>Aruba</t>
  </si>
  <si>
    <t>Australia</t>
  </si>
  <si>
    <t>Austria</t>
  </si>
  <si>
    <t>Azerbaiyán</t>
  </si>
  <si>
    <t>Bahamas</t>
  </si>
  <si>
    <t>Bahrain</t>
  </si>
  <si>
    <t>Bangladesh</t>
  </si>
  <si>
    <t>Barbados</t>
  </si>
  <si>
    <t>Bélgica</t>
  </si>
  <si>
    <t>Benin</t>
  </si>
  <si>
    <t>Bermudas</t>
  </si>
  <si>
    <t>Bielorrusia</t>
  </si>
  <si>
    <t>Bolivia</t>
  </si>
  <si>
    <t>Bonaire</t>
  </si>
  <si>
    <t>Bosnia y Herzegovina</t>
  </si>
  <si>
    <t>Botswana</t>
  </si>
  <si>
    <t>Brasil</t>
  </si>
  <si>
    <t>Brunei</t>
  </si>
  <si>
    <t>Bulgaria</t>
  </si>
  <si>
    <t>Burkina Faso</t>
  </si>
  <si>
    <t>Burundi</t>
  </si>
  <si>
    <t>Bután</t>
  </si>
  <si>
    <t>Camboya</t>
  </si>
  <si>
    <t>Camerún</t>
  </si>
  <si>
    <t>Canadá</t>
  </si>
  <si>
    <t>Chad</t>
  </si>
  <si>
    <t>Chile</t>
  </si>
  <si>
    <t>China</t>
  </si>
  <si>
    <t>Chipre</t>
  </si>
  <si>
    <t>Ciudad del Vaticano</t>
  </si>
  <si>
    <t>Comoros</t>
  </si>
  <si>
    <t>Corea del Sur</t>
  </si>
  <si>
    <t>Costa de Marfil</t>
  </si>
  <si>
    <t>Costa Rica</t>
  </si>
  <si>
    <t>Croacia</t>
  </si>
  <si>
    <t>Curazao</t>
  </si>
  <si>
    <t>Dinamarca</t>
  </si>
  <si>
    <t>Djibuti</t>
  </si>
  <si>
    <t>Dominica</t>
  </si>
  <si>
    <t>Ecuador</t>
  </si>
  <si>
    <t>Egipto</t>
  </si>
  <si>
    <t>El Salvador</t>
  </si>
  <si>
    <t>Emiratos Árabes Unidos</t>
  </si>
  <si>
    <t>Eritrea</t>
  </si>
  <si>
    <t>Eslovaquia</t>
  </si>
  <si>
    <t>Eslovenia</t>
  </si>
  <si>
    <t>España</t>
  </si>
  <si>
    <t>Estonia</t>
  </si>
  <si>
    <t>Etiopía</t>
  </si>
  <si>
    <t>Fiji</t>
  </si>
  <si>
    <t>Filipinas</t>
  </si>
  <si>
    <t>Finlandia</t>
  </si>
  <si>
    <t>Francia</t>
  </si>
  <si>
    <t>Gabón</t>
  </si>
  <si>
    <t>Gambia</t>
  </si>
  <si>
    <t>Georgia</t>
  </si>
  <si>
    <t>Ghana</t>
  </si>
  <si>
    <t>Gibraltar</t>
  </si>
  <si>
    <t>Granada</t>
  </si>
  <si>
    <t>Grecia</t>
  </si>
  <si>
    <t>Guadalupe</t>
  </si>
  <si>
    <t>Guam</t>
  </si>
  <si>
    <t>Guatemala</t>
  </si>
  <si>
    <t>Guinea</t>
  </si>
  <si>
    <t>Guinea-Bissau</t>
  </si>
  <si>
    <t>Guyana</t>
  </si>
  <si>
    <t>Haití</t>
  </si>
  <si>
    <t>Honduras</t>
  </si>
  <si>
    <t>Hong Kong</t>
  </si>
  <si>
    <t>Hungría</t>
  </si>
  <si>
    <t>India</t>
  </si>
  <si>
    <t>Indonesia</t>
  </si>
  <si>
    <t>Irak</t>
  </si>
  <si>
    <t>Irán</t>
  </si>
  <si>
    <t>-</t>
  </si>
  <si>
    <t>Irlanda</t>
  </si>
  <si>
    <t>Isla de la Reunión</t>
  </si>
  <si>
    <t>Islandia</t>
  </si>
  <si>
    <t>Islas Cabo Verde</t>
  </si>
  <si>
    <t>Islas Caimán</t>
  </si>
  <si>
    <t>Islas Canarias</t>
  </si>
  <si>
    <t>Islas Faeroes (Dinamarca)</t>
  </si>
  <si>
    <t>Islas Marianas del Norte</t>
  </si>
  <si>
    <t>Islas Seychelles</t>
  </si>
  <si>
    <t>Islas Turcas y Caicos</t>
  </si>
  <si>
    <t>Islas Vírgenes Británicas</t>
  </si>
  <si>
    <t>Islas Vírgenes Estadounidenses</t>
  </si>
  <si>
    <t>Israel</t>
  </si>
  <si>
    <t>Italia</t>
  </si>
  <si>
    <t>Jamaica</t>
  </si>
  <si>
    <t>Japón</t>
  </si>
  <si>
    <t>Jordania</t>
  </si>
  <si>
    <t>Kazajstán</t>
  </si>
  <si>
    <t>Kenia</t>
  </si>
  <si>
    <t>Kirguistán</t>
  </si>
  <si>
    <t>Kuwait</t>
  </si>
  <si>
    <t>Laos</t>
  </si>
  <si>
    <t>Lesotho</t>
  </si>
  <si>
    <t>Letonia</t>
  </si>
  <si>
    <t>Liberia</t>
  </si>
  <si>
    <t>Liechtenstein</t>
  </si>
  <si>
    <t>Lituania</t>
  </si>
  <si>
    <t>Luxemburgo</t>
  </si>
  <si>
    <t>Macao</t>
  </si>
  <si>
    <t>Macedonia</t>
  </si>
  <si>
    <t>Madagascar</t>
  </si>
  <si>
    <t>Malasia</t>
  </si>
  <si>
    <t>Malawi</t>
  </si>
  <si>
    <t>Malí</t>
  </si>
  <si>
    <t>Malta</t>
  </si>
  <si>
    <t>Marruecos</t>
  </si>
  <si>
    <t>Martinica</t>
  </si>
  <si>
    <t>Mauricio</t>
  </si>
  <si>
    <t>Mauritania</t>
  </si>
  <si>
    <t>Mayotte</t>
  </si>
  <si>
    <t>México</t>
  </si>
  <si>
    <t>Moldova</t>
  </si>
  <si>
    <t>Mónaco</t>
  </si>
  <si>
    <t>Mongolia</t>
  </si>
  <si>
    <t>Montenegro</t>
  </si>
  <si>
    <t>Montserrat</t>
  </si>
  <si>
    <t>Mozambique</t>
  </si>
  <si>
    <t>Namibia</t>
  </si>
  <si>
    <t>Nepal</t>
  </si>
  <si>
    <t>Nicaragua</t>
  </si>
  <si>
    <t>Niger</t>
  </si>
  <si>
    <t>Nigeria</t>
  </si>
  <si>
    <t>Noruega</t>
  </si>
  <si>
    <t>Nueva Caledonia</t>
  </si>
  <si>
    <t>Nueva Zelanda</t>
  </si>
  <si>
    <t>Omán</t>
  </si>
  <si>
    <t>Países Bajos</t>
  </si>
  <si>
    <t>Pakistán</t>
  </si>
  <si>
    <t>Panamá</t>
  </si>
  <si>
    <t>Paraguay</t>
  </si>
  <si>
    <t>Perú</t>
  </si>
  <si>
    <t>Polinesia Francesa</t>
  </si>
  <si>
    <t>Polonia</t>
  </si>
  <si>
    <t>Portugal</t>
  </si>
  <si>
    <t>Puerto Rico</t>
  </si>
  <si>
    <t>Qatar</t>
  </si>
  <si>
    <t>Reino Unido</t>
  </si>
  <si>
    <t>República Checa</t>
  </si>
  <si>
    <t>República de Congo</t>
  </si>
  <si>
    <t>República Democrática de Congo</t>
  </si>
  <si>
    <t>República Dominicana</t>
  </si>
  <si>
    <t>Ruanda</t>
  </si>
  <si>
    <t>Rumania</t>
  </si>
  <si>
    <t>Rusia</t>
  </si>
  <si>
    <t>Saint Martin</t>
  </si>
  <si>
    <t>Samoa Americana</t>
  </si>
  <si>
    <t>Samoa Occidental</t>
  </si>
  <si>
    <t>San Bartolomé</t>
  </si>
  <si>
    <t>San Cristóbal y Nevis</t>
  </si>
  <si>
    <t>San Marino</t>
  </si>
  <si>
    <t>San Vicente y Las Granadinas</t>
  </si>
  <si>
    <t>Santa Lucía</t>
  </si>
  <si>
    <t>Senegal</t>
  </si>
  <si>
    <t>Serbia</t>
  </si>
  <si>
    <t>Sierra Leona</t>
  </si>
  <si>
    <t>Singapur</t>
  </si>
  <si>
    <t>Sint Marteen</t>
  </si>
  <si>
    <t>Sri Lanka</t>
  </si>
  <si>
    <t>Suazilandia</t>
  </si>
  <si>
    <t>Sudáfrica</t>
  </si>
  <si>
    <t>Suecia</t>
  </si>
  <si>
    <t>Suiza</t>
  </si>
  <si>
    <t>Surinam</t>
  </si>
  <si>
    <t>Tailandia</t>
  </si>
  <si>
    <t>Taiwán</t>
  </si>
  <si>
    <t>Tanzania</t>
  </si>
  <si>
    <t>Togo</t>
  </si>
  <si>
    <t>Trinidad y Tobago</t>
  </si>
  <si>
    <t>Túnez</t>
  </si>
  <si>
    <t>Turquía</t>
  </si>
  <si>
    <t>Ucrania</t>
  </si>
  <si>
    <t>Uganda</t>
  </si>
  <si>
    <t>Uruguay</t>
  </si>
  <si>
    <t>Uzbekistán</t>
  </si>
  <si>
    <t>Venezuela</t>
  </si>
  <si>
    <t>Vietnam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</si>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</sst>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"/>
    <numFmt numFmtId="165" formatCode="_-[$€-2]\ * #,##0_-;\-[$€-2]\ * #,##0_-;_-[$€-2]\ * &quot;-&quot;??_-;_-@"/>
    <numFmt numFmtId="166" formatCode="&quot;$&quot;#,##0.00"/>
    <numFmt numFmtId="167" formatCode="&quot;$&quot;#,##0.0"/>
    <numFmt numFmtId="168" formatCode="0.0%"/>
    <numFmt numFmtId="169" formatCode="&quot;$&quot;#,##0"/>
  </numFmts>
  <fonts count="14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rgb="FFFFC000"/>
      <name val="Calibri"/>
    </font>
    <font/>
    <font>
      <b/>
      <sz val="11.0"/>
      <color theme="1"/>
      <name val="Calibri"/>
    </font>
    <font>
      <b/>
      <sz val="12.0"/>
      <color theme="1"/>
      <name val="Calibri"/>
    </font>
    <font>
      <b/>
      <sz val="20.0"/>
      <color rgb="FF7030A0"/>
      <name val="Calibri"/>
    </font>
    <font>
      <b/>
      <sz val="12.0"/>
      <color theme="0"/>
      <name val="Calibri"/>
    </font>
    <font>
      <b/>
      <sz val="12.0"/>
      <color rgb="FFFFFFFF"/>
      <name val="Calibri"/>
    </font>
    <font>
      <b/>
      <sz val="10.0"/>
      <color theme="1"/>
      <name val="Calibri"/>
    </font>
    <font>
      <b/>
      <sz val="11.0"/>
      <color rgb="FFFFFFFF"/>
      <name val="Calibri"/>
    </font>
    <font>
      <color theme="1"/>
      <name val="Calibri"/>
    </font>
    <font>
      <sz val="11.0"/>
      <color theme="0"/>
      <name val="Calibri"/>
    </font>
    <font>
      <sz val="11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494429"/>
        <bgColor rgb="FF494429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1F497D"/>
        <bgColor rgb="FF1F497D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</fills>
  <borders count="69">
    <border/>
    <border>
      <left/>
      <right/>
      <top/>
      <bottom/>
    </border>
    <border>
      <left/>
      <right/>
      <top/>
    </border>
    <border>
      <lef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/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top/>
      <bottom style="medium">
        <color rgb="FF000000"/>
      </bottom>
    </border>
    <border>
      <left/>
      <right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/>
      <top/>
    </border>
    <border>
      <left style="medium">
        <color rgb="FF000000"/>
      </left>
      <top style="medium">
        <color rgb="FF000000"/>
      </top>
      <bottom style="medium">
        <color rgb="FF999999"/>
      </bottom>
    </border>
    <border>
      <left style="medium">
        <color rgb="FF000000"/>
      </left>
      <right style="medium">
        <color rgb="FF999999"/>
      </right>
      <top style="medium">
        <color rgb="FF000000"/>
      </top>
      <bottom style="medium">
        <color rgb="FF999999"/>
      </bottom>
    </border>
    <border>
      <left style="medium">
        <color rgb="FF999999"/>
      </left>
      <right style="medium">
        <color rgb="FF999999"/>
      </right>
      <top style="medium">
        <color rgb="FF000000"/>
      </top>
      <bottom style="medium">
        <color rgb="FF999999"/>
      </bottom>
    </border>
    <border>
      <left style="medium">
        <color rgb="FF999999"/>
      </left>
      <top style="medium">
        <color rgb="FF000000"/>
      </top>
      <bottom style="medium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99999"/>
      </bottom>
    </border>
    <border>
      <top/>
      <bottom/>
    </border>
    <border>
      <right style="medium">
        <color rgb="FF999999"/>
      </right>
      <top style="medium">
        <color rgb="FF000000"/>
      </top>
      <bottom style="medium">
        <color rgb="FF999999"/>
      </bottom>
    </border>
    <border>
      <left style="medium">
        <color rgb="FF000000"/>
      </left>
      <top style="medium">
        <color rgb="FF999999"/>
      </top>
      <bottom style="medium">
        <color rgb="FF999999"/>
      </bottom>
    </border>
    <border>
      <left style="medium">
        <color rgb="FF000000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 style="medium">
        <color rgb="FF999999"/>
      </left>
      <top style="medium">
        <color rgb="FF999999"/>
      </top>
      <bottom style="medium">
        <color rgb="FF999999"/>
      </bottom>
    </border>
    <border>
      <left style="medium">
        <color rgb="FF000000"/>
      </left>
      <right style="medium">
        <color rgb="FF000000"/>
      </right>
      <top style="medium">
        <color rgb="FF999999"/>
      </top>
      <bottom style="medium">
        <color rgb="FF999999"/>
      </bottom>
    </border>
    <border>
      <right style="medium">
        <color rgb="FF999999"/>
      </right>
      <top style="medium">
        <color rgb="FF999999"/>
      </top>
      <bottom style="medium">
        <color rgb="FF999999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medium">
        <color rgb="FF999999"/>
      </top>
      <bottom style="medium">
        <color rgb="FF000000"/>
      </bottom>
    </border>
    <border>
      <left style="medium">
        <color rgb="FF000000"/>
      </left>
      <right style="medium">
        <color rgb="FF999999"/>
      </right>
      <top style="medium">
        <color rgb="FF999999"/>
      </top>
      <bottom style="medium">
        <color rgb="FF000000"/>
      </bottom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000000"/>
      </bottom>
    </border>
    <border>
      <left style="medium">
        <color rgb="FF999999"/>
      </left>
      <top style="medium">
        <color rgb="FF999999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999999"/>
      </top>
      <bottom style="medium">
        <color rgb="FF000000"/>
      </bottom>
    </border>
    <border>
      <right style="medium">
        <color rgb="FF999999"/>
      </right>
      <top style="medium">
        <color rgb="FF999999"/>
      </top>
      <bottom style="medium">
        <color rgb="FF000000"/>
      </bottom>
    </border>
    <border>
      <right style="medium">
        <color rgb="FF000000"/>
      </right>
      <top/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 style="medium">
        <color rgb="FFFFFFFF"/>
      </bottom>
    </border>
    <border>
      <left style="medium">
        <color rgb="FF000000"/>
      </left>
      <right style="medium">
        <color rgb="FF000000"/>
      </right>
      <bottom style="medium">
        <color rgb="FFFFFFFF"/>
      </bottom>
    </border>
    <border>
      <left style="medium">
        <color rgb="FF000000"/>
      </left>
      <right style="medium">
        <color rgb="FF000000"/>
      </right>
      <top style="medium">
        <color rgb="FFFFFFFF"/>
      </top>
      <bottom style="medium">
        <color rgb="FFFFFFFF"/>
      </bottom>
    </border>
    <border>
      <left style="medium">
        <color rgb="FF000000"/>
      </left>
      <right/>
      <top style="medium">
        <color rgb="FFFFFFFF"/>
      </top>
      <bottom/>
    </border>
    <border>
      <right style="medium">
        <color rgb="FF000000"/>
      </right>
      <top style="medium">
        <color rgb="FFFFFFFF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left/>
      <right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1" fillId="2" fontId="1" numFmtId="164" xfId="0" applyBorder="1" applyFill="1" applyFont="1" applyNumberFormat="1"/>
    <xf borderId="1" fillId="2" fontId="1" numFmtId="165" xfId="0" applyBorder="1" applyFill="1" applyFont="1" applyNumberFormat="1"/>
    <xf borderId="2" fillId="2" fontId="1" numFmtId="164" xfId="0" applyBorder="1" applyFill="1" applyFont="1" applyNumberFormat="1"/>
    <xf borderId="2" fillId="2" fontId="1" numFmtId="165" xfId="0" applyBorder="1" applyFill="1" applyFont="1" applyNumberFormat="1"/>
    <xf borderId="1" fillId="2" fontId="1" numFmtId="0" xfId="0" applyAlignment="1" applyBorder="1" applyFill="1" applyFont="1">
      <alignment vertical="center"/>
    </xf>
    <xf borderId="1" fillId="2" fontId="1" numFmtId="166" xfId="0" applyAlignment="1" applyBorder="1" applyFill="1" applyFont="1" applyNumberFormat="1">
      <alignment vertical="center"/>
    </xf>
    <xf borderId="1" fillId="2" fontId="1" numFmtId="0" xfId="0" applyBorder="1" applyFill="1" applyFont="1"/>
    <xf borderId="3" fillId="2" fontId="1" numFmtId="2" xfId="0" applyBorder="1" applyFill="1" applyFont="1" applyNumberFormat="1"/>
    <xf borderId="3" fillId="2" fontId="1" numFmtId="165" xfId="0" applyBorder="1" applyFill="1" applyFont="1" applyNumberFormat="1"/>
    <xf borderId="4" fillId="3" fontId="2" numFmtId="164" xfId="0" applyAlignment="1" applyBorder="1" applyFill="1" applyFont="1" applyNumberFormat="1">
      <alignment horizontal="center" vertical="center"/>
    </xf>
    <xf borderId="5" fillId="0" fontId="3" numFmtId="0" xfId="0" applyBorder="1" applyFont="1"/>
    <xf borderId="2" fillId="2" fontId="1" numFmtId="166" xfId="0" applyAlignment="1" applyBorder="1" applyFill="1" applyFont="1" applyNumberFormat="1">
      <alignment vertical="center"/>
    </xf>
    <xf borderId="6" fillId="0" fontId="3" numFmtId="0" xfId="0" applyBorder="1" applyFont="1"/>
    <xf borderId="7" fillId="2" fontId="1" numFmtId="164" xfId="0" applyBorder="1" applyFill="1" applyFont="1" applyNumberFormat="1"/>
    <xf borderId="3" fillId="2" fontId="1" numFmtId="164" xfId="0" applyBorder="1" applyFill="1" applyFont="1" applyNumberFormat="1"/>
    <xf borderId="1" fillId="2" fontId="1" numFmtId="167" xfId="0" applyBorder="1" applyFill="1" applyFont="1" applyNumberFormat="1"/>
    <xf borderId="1" fillId="2" fontId="1" numFmtId="9" xfId="0" applyBorder="1" applyFill="1" applyFont="1" applyNumberFormat="1"/>
    <xf borderId="8" fillId="4" fontId="4" numFmtId="164" xfId="0" applyAlignment="1" applyBorder="1" applyFill="1" applyFont="1" applyNumberFormat="1">
      <alignment horizontal="center"/>
    </xf>
    <xf borderId="9" fillId="5" fontId="5" numFmtId="166" xfId="0" applyAlignment="1" applyBorder="1" applyFill="1" applyFont="1" applyNumberFormat="1">
      <alignment horizontal="center" vertical="center"/>
    </xf>
    <xf borderId="10" fillId="2" fontId="6" numFmtId="165" xfId="0" applyAlignment="1" applyBorder="1" applyFill="1" applyFont="1" applyNumberFormat="1">
      <alignment horizontal="center" vertical="center"/>
    </xf>
    <xf borderId="8" fillId="0" fontId="4" numFmtId="164" xfId="0" applyAlignment="1" applyBorder="1" applyFont="1" applyNumberFormat="1">
      <alignment horizontal="center"/>
    </xf>
    <xf borderId="11" fillId="0" fontId="3" numFmtId="0" xfId="0" applyBorder="1" applyFont="1"/>
    <xf borderId="12" fillId="0" fontId="3" numFmtId="0" xfId="0" applyBorder="1" applyFont="1"/>
    <xf borderId="7" fillId="2" fontId="1" numFmtId="165" xfId="0" applyBorder="1" applyFill="1" applyFont="1" applyNumberFormat="1"/>
    <xf borderId="13" fillId="4" fontId="4" numFmtId="164" xfId="0" applyAlignment="1" applyBorder="1" applyFill="1" applyFont="1" applyNumberFormat="1">
      <alignment horizontal="center"/>
    </xf>
    <xf borderId="4" fillId="5" fontId="5" numFmtId="166" xfId="0" applyAlignment="1" applyBorder="1" applyFill="1" applyFont="1" applyNumberFormat="1">
      <alignment horizontal="center" readingOrder="0" vertical="center"/>
    </xf>
    <xf borderId="13" fillId="0" fontId="4" numFmtId="164" xfId="0" applyAlignment="1" applyBorder="1" applyFont="1" applyNumberFormat="1">
      <alignment horizontal="center"/>
    </xf>
    <xf borderId="7" fillId="2" fontId="1" numFmtId="0" xfId="0" applyAlignment="1" applyBorder="1" applyFill="1" applyFont="1">
      <alignment vertical="center"/>
    </xf>
    <xf borderId="1" fillId="2" fontId="4" numFmtId="0" xfId="0" applyBorder="1" applyFill="1" applyFont="1"/>
    <xf borderId="14" fillId="0" fontId="4" numFmtId="164" xfId="0" applyAlignment="1" applyBorder="1" applyFont="1" applyNumberFormat="1">
      <alignment horizontal="center"/>
    </xf>
    <xf borderId="15" fillId="5" fontId="4" numFmtId="168" xfId="0" applyAlignment="1" applyBorder="1" applyFill="1" applyFont="1" applyNumberFormat="1">
      <alignment readingOrder="0"/>
    </xf>
    <xf borderId="10" fillId="6" fontId="4" numFmtId="164" xfId="0" applyAlignment="1" applyBorder="1" applyFill="1" applyFont="1" applyNumberFormat="1">
      <alignment horizontal="center"/>
    </xf>
    <xf borderId="16" fillId="6" fontId="1" numFmtId="164" xfId="0" applyAlignment="1" applyBorder="1" applyFill="1" applyFont="1" applyNumberFormat="1">
      <alignment horizontal="center"/>
    </xf>
    <xf borderId="17" fillId="2" fontId="1" numFmtId="165" xfId="0" applyBorder="1" applyFill="1" applyFont="1" applyNumberFormat="1"/>
    <xf borderId="18" fillId="2" fontId="1" numFmtId="166" xfId="0" applyAlignment="1" applyBorder="1" applyFill="1" applyFont="1" applyNumberFormat="1">
      <alignment vertical="center"/>
    </xf>
    <xf borderId="19" fillId="6" fontId="1" numFmtId="164" xfId="0" applyAlignment="1" applyBorder="1" applyFill="1" applyFont="1" applyNumberFormat="1">
      <alignment horizontal="center"/>
    </xf>
    <xf borderId="20" fillId="4" fontId="4" numFmtId="165" xfId="0" applyAlignment="1" applyBorder="1" applyFill="1" applyFont="1" applyNumberFormat="1">
      <alignment horizontal="center"/>
    </xf>
    <xf borderId="20" fillId="0" fontId="4" numFmtId="165" xfId="0" applyAlignment="1" applyBorder="1" applyFont="1" applyNumberFormat="1">
      <alignment horizontal="center"/>
    </xf>
    <xf borderId="2" fillId="2" fontId="1" numFmtId="0" xfId="0" applyAlignment="1" applyBorder="1" applyFill="1" applyFont="1">
      <alignment vertical="center"/>
    </xf>
    <xf borderId="21" fillId="4" fontId="4" numFmtId="165" xfId="0" applyAlignment="1" applyBorder="1" applyFill="1" applyFont="1" applyNumberFormat="1">
      <alignment horizontal="center"/>
    </xf>
    <xf borderId="22" fillId="6" fontId="4" numFmtId="164" xfId="0" applyAlignment="1" applyBorder="1" applyFill="1" applyFont="1" applyNumberFormat="1">
      <alignment horizontal="center"/>
    </xf>
    <xf borderId="17" fillId="2" fontId="1" numFmtId="164" xfId="0" applyBorder="1" applyFill="1" applyFont="1" applyNumberFormat="1"/>
    <xf borderId="23" fillId="6" fontId="1" numFmtId="164" xfId="0" applyAlignment="1" applyBorder="1" applyFill="1" applyFont="1" applyNumberFormat="1">
      <alignment horizontal="center"/>
    </xf>
    <xf borderId="3" fillId="2" fontId="1" numFmtId="0" xfId="0" applyAlignment="1" applyBorder="1" applyFill="1" applyFont="1">
      <alignment vertical="center"/>
    </xf>
    <xf borderId="4" fillId="7" fontId="7" numFmtId="166" xfId="0" applyAlignment="1" applyBorder="1" applyFill="1" applyFont="1" applyNumberFormat="1">
      <alignment horizontal="center" vertical="center"/>
    </xf>
    <xf borderId="24" fillId="6" fontId="1" numFmtId="164" xfId="0" applyAlignment="1" applyBorder="1" applyFill="1" applyFont="1" applyNumberFormat="1">
      <alignment horizontal="center"/>
    </xf>
    <xf borderId="4" fillId="8" fontId="8" numFmtId="166" xfId="0" applyAlignment="1" applyBorder="1" applyFill="1" applyFont="1" applyNumberFormat="1">
      <alignment horizontal="center" vertical="center"/>
    </xf>
    <xf borderId="21" fillId="0" fontId="4" numFmtId="165" xfId="0" applyAlignment="1" applyBorder="1" applyFont="1" applyNumberFormat="1">
      <alignment horizontal="center"/>
    </xf>
    <xf borderId="4" fillId="7" fontId="7" numFmtId="167" xfId="0" applyAlignment="1" applyBorder="1" applyFill="1" applyFont="1" applyNumberFormat="1">
      <alignment horizontal="center"/>
    </xf>
    <xf borderId="4" fillId="9" fontId="8" numFmtId="166" xfId="0" applyAlignment="1" applyBorder="1" applyFill="1" applyFont="1" applyNumberFormat="1">
      <alignment horizontal="center" vertical="center"/>
    </xf>
    <xf borderId="4" fillId="9" fontId="7" numFmtId="0" xfId="0" applyAlignment="1" applyBorder="1" applyFill="1" applyFont="1">
      <alignment horizontal="center"/>
    </xf>
    <xf borderId="3" fillId="2" fontId="4" numFmtId="0" xfId="0" applyAlignment="1" applyBorder="1" applyFill="1" applyFont="1">
      <alignment horizontal="right" vertical="center"/>
    </xf>
    <xf borderId="8" fillId="6" fontId="1" numFmtId="169" xfId="0" applyAlignment="1" applyBorder="1" applyFill="1" applyFont="1" applyNumberFormat="1">
      <alignment horizontal="center"/>
    </xf>
    <xf borderId="8" fillId="5" fontId="4" numFmtId="9" xfId="0" applyAlignment="1" applyBorder="1" applyFill="1" applyFont="1" applyNumberFormat="1">
      <alignment horizontal="center" readingOrder="0" vertical="center"/>
    </xf>
    <xf borderId="8" fillId="5" fontId="4" numFmtId="10" xfId="0" applyAlignment="1" applyBorder="1" applyFill="1" applyFont="1" applyNumberFormat="1">
      <alignment horizontal="center" readingOrder="0" vertical="center"/>
    </xf>
    <xf borderId="25" fillId="2" fontId="1" numFmtId="0" xfId="0" applyBorder="1" applyFill="1" applyFont="1"/>
    <xf borderId="26" fillId="6" fontId="1" numFmtId="169" xfId="0" applyAlignment="1" applyBorder="1" applyFill="1" applyFont="1" applyNumberFormat="1">
      <alignment horizontal="center"/>
    </xf>
    <xf borderId="27" fillId="0" fontId="4" numFmtId="166" xfId="0" applyAlignment="1" applyBorder="1" applyFont="1" applyNumberFormat="1">
      <alignment horizontal="center" vertical="center"/>
    </xf>
    <xf borderId="28" fillId="2" fontId="1" numFmtId="0" xfId="0" applyBorder="1" applyFill="1" applyFont="1"/>
    <xf borderId="27" fillId="0" fontId="4" numFmtId="0" xfId="0" applyAlignment="1" applyBorder="1" applyFont="1">
      <alignment horizontal="center" vertical="center"/>
    </xf>
    <xf borderId="29" fillId="2" fontId="1" numFmtId="0" xfId="0" applyBorder="1" applyFill="1" applyFont="1"/>
    <xf borderId="1" fillId="2" fontId="4" numFmtId="0" xfId="0" applyAlignment="1" applyBorder="1" applyFill="1" applyFont="1">
      <alignment horizontal="right" vertical="center"/>
    </xf>
    <xf borderId="8" fillId="0" fontId="4" numFmtId="167" xfId="0" applyAlignment="1" applyBorder="1" applyFont="1" applyNumberFormat="1">
      <alignment horizontal="center"/>
    </xf>
    <xf borderId="30" fillId="0" fontId="4" numFmtId="0" xfId="0" applyAlignment="1" applyBorder="1" applyFont="1">
      <alignment horizontal="center" vertical="center"/>
    </xf>
    <xf borderId="8" fillId="0" fontId="4" numFmtId="167" xfId="0" applyAlignment="1" applyBorder="1" applyFont="1" applyNumberFormat="1">
      <alignment horizontal="center" vertical="center"/>
    </xf>
    <xf borderId="8" fillId="0" fontId="4" numFmtId="9" xfId="0" applyAlignment="1" applyBorder="1" applyFont="1" applyNumberFormat="1">
      <alignment horizontal="center" vertical="center"/>
    </xf>
    <xf borderId="8" fillId="0" fontId="4" numFmtId="0" xfId="0" applyAlignment="1" applyBorder="1" applyFont="1">
      <alignment horizontal="center" vertical="center"/>
    </xf>
    <xf borderId="23" fillId="6" fontId="1" numFmtId="169" xfId="0" applyAlignment="1" applyBorder="1" applyFill="1" applyFont="1" applyNumberFormat="1">
      <alignment horizontal="center"/>
    </xf>
    <xf borderId="31" fillId="2" fontId="1" numFmtId="0" xfId="0" applyBorder="1" applyFill="1" applyFont="1"/>
    <xf borderId="24" fillId="6" fontId="1" numFmtId="169" xfId="0" applyAlignment="1" applyBorder="1" applyFill="1" applyFont="1" applyNumberFormat="1">
      <alignment horizontal="center"/>
    </xf>
    <xf borderId="32" fillId="2" fontId="1" numFmtId="0" xfId="0" applyBorder="1" applyFill="1" applyFont="1"/>
    <xf borderId="23" fillId="4" fontId="4" numFmtId="164" xfId="0" applyAlignment="1" applyBorder="1" applyFill="1" applyFont="1" applyNumberFormat="1">
      <alignment horizontal="center"/>
    </xf>
    <xf borderId="8" fillId="0" fontId="4" numFmtId="166" xfId="0" applyAlignment="1" applyBorder="1" applyFont="1" applyNumberFormat="1">
      <alignment horizontal="center" vertical="center"/>
    </xf>
    <xf borderId="26" fillId="0" fontId="3" numFmtId="0" xfId="0" applyBorder="1" applyFont="1"/>
    <xf borderId="13" fillId="0" fontId="4" numFmtId="166" xfId="0" applyAlignment="1" applyBorder="1" applyFont="1" applyNumberFormat="1">
      <alignment horizontal="center" vertical="center"/>
    </xf>
    <xf borderId="8" fillId="0" fontId="3" numFmtId="0" xfId="0" applyBorder="1" applyFont="1"/>
    <xf borderId="33" fillId="6" fontId="4" numFmtId="164" xfId="0" applyAlignment="1" applyBorder="1" applyFill="1" applyFont="1" applyNumberFormat="1">
      <alignment horizontal="center"/>
    </xf>
    <xf borderId="34" fillId="2" fontId="1" numFmtId="0" xfId="0" applyAlignment="1" applyBorder="1" applyFill="1" applyFont="1">
      <alignment vertical="center"/>
    </xf>
    <xf borderId="20" fillId="6" fontId="1" numFmtId="164" xfId="0" applyAlignment="1" applyBorder="1" applyFill="1" applyFont="1" applyNumberFormat="1">
      <alignment horizontal="center"/>
    </xf>
    <xf borderId="21" fillId="6" fontId="1" numFmtId="164" xfId="0" applyAlignment="1" applyBorder="1" applyFill="1" applyFont="1" applyNumberFormat="1">
      <alignment horizontal="center"/>
    </xf>
    <xf borderId="35" fillId="10" fontId="4" numFmtId="164" xfId="0" applyAlignment="1" applyBorder="1" applyFill="1" applyFont="1" applyNumberFormat="1">
      <alignment horizontal="center"/>
    </xf>
    <xf borderId="36" fillId="10" fontId="1" numFmtId="166" xfId="0" applyAlignment="1" applyBorder="1" applyFill="1" applyFont="1" applyNumberFormat="1">
      <alignment horizontal="center"/>
    </xf>
    <xf borderId="37" fillId="10" fontId="1" numFmtId="166" xfId="0" applyAlignment="1" applyBorder="1" applyFill="1" applyFont="1" applyNumberFormat="1">
      <alignment horizontal="center"/>
    </xf>
    <xf borderId="38" fillId="10" fontId="1" numFmtId="166" xfId="0" applyAlignment="1" applyBorder="1" applyFill="1" applyFont="1" applyNumberFormat="1">
      <alignment horizontal="center"/>
    </xf>
    <xf borderId="39" fillId="10" fontId="1" numFmtId="164" xfId="0" applyAlignment="1" applyBorder="1" applyFill="1" applyFont="1" applyNumberFormat="1">
      <alignment horizontal="center"/>
    </xf>
    <xf borderId="40" fillId="2" fontId="1" numFmtId="0" xfId="0" applyAlignment="1" applyBorder="1" applyFill="1" applyFont="1">
      <alignment vertical="center"/>
    </xf>
    <xf borderId="39" fillId="10" fontId="4" numFmtId="164" xfId="0" applyAlignment="1" applyBorder="1" applyFill="1" applyFont="1" applyNumberFormat="1">
      <alignment horizontal="center"/>
    </xf>
    <xf borderId="23" fillId="4" fontId="1" numFmtId="167" xfId="0" applyAlignment="1" applyBorder="1" applyFill="1" applyFont="1" applyNumberFormat="1">
      <alignment horizontal="center"/>
    </xf>
    <xf borderId="41" fillId="10" fontId="1" numFmtId="166" xfId="0" applyAlignment="1" applyBorder="1" applyFill="1" applyFont="1" applyNumberFormat="1">
      <alignment horizontal="center"/>
    </xf>
    <xf borderId="23" fillId="4" fontId="1" numFmtId="164" xfId="0" applyAlignment="1" applyBorder="1" applyFill="1" applyFont="1" applyNumberFormat="1">
      <alignment horizontal="center"/>
    </xf>
    <xf borderId="19" fillId="10" fontId="4" numFmtId="164" xfId="0" applyAlignment="1" applyBorder="1" applyFill="1" applyFont="1" applyNumberFormat="1">
      <alignment horizontal="center"/>
    </xf>
    <xf borderId="8" fillId="4" fontId="1" numFmtId="164" xfId="0" applyAlignment="1" applyBorder="1" applyFill="1" applyFont="1" applyNumberFormat="1">
      <alignment horizontal="center"/>
    </xf>
    <xf borderId="26" fillId="4" fontId="1" numFmtId="164" xfId="0" applyAlignment="1" applyBorder="1" applyFill="1" applyFont="1" applyNumberFormat="1">
      <alignment horizontal="center"/>
    </xf>
    <xf borderId="23" fillId="4" fontId="1" numFmtId="9" xfId="0" applyAlignment="1" applyBorder="1" applyFill="1" applyFont="1" applyNumberFormat="1">
      <alignment horizontal="center"/>
    </xf>
    <xf borderId="16" fillId="10" fontId="1" numFmtId="166" xfId="0" applyAlignment="1" applyBorder="1" applyFill="1" applyFont="1" applyNumberFormat="1">
      <alignment horizontal="center"/>
    </xf>
    <xf borderId="23" fillId="0" fontId="4" numFmtId="164" xfId="0" applyAlignment="1" applyBorder="1" applyFont="1" applyNumberFormat="1">
      <alignment horizontal="center"/>
    </xf>
    <xf borderId="23" fillId="0" fontId="1" numFmtId="164" xfId="0" applyAlignment="1" applyBorder="1" applyFont="1" applyNumberFormat="1">
      <alignment horizontal="center"/>
    </xf>
    <xf borderId="24" fillId="0" fontId="1" numFmtId="164" xfId="0" applyAlignment="1" applyBorder="1" applyFont="1" applyNumberFormat="1">
      <alignment horizontal="center"/>
    </xf>
    <xf borderId="19" fillId="4" fontId="1" numFmtId="165" xfId="0" applyAlignment="1" applyBorder="1" applyFill="1" applyFont="1" applyNumberFormat="1">
      <alignment horizontal="center" vertical="center"/>
    </xf>
    <xf borderId="42" fillId="10" fontId="4" numFmtId="164" xfId="0" applyAlignment="1" applyBorder="1" applyFill="1" applyFont="1" applyNumberFormat="1">
      <alignment horizontal="center"/>
    </xf>
    <xf borderId="43" fillId="10" fontId="1" numFmtId="166" xfId="0" applyAlignment="1" applyBorder="1" applyFill="1" applyFont="1" applyNumberFormat="1">
      <alignment horizontal="center"/>
    </xf>
    <xf borderId="44" fillId="10" fontId="1" numFmtId="166" xfId="0" applyAlignment="1" applyBorder="1" applyFill="1" applyFont="1" applyNumberFormat="1">
      <alignment horizontal="center"/>
    </xf>
    <xf borderId="45" fillId="10" fontId="1" numFmtId="166" xfId="0" applyAlignment="1" applyBorder="1" applyFill="1" applyFont="1" applyNumberFormat="1">
      <alignment horizontal="center"/>
    </xf>
    <xf borderId="46" fillId="10" fontId="1" numFmtId="164" xfId="0" applyAlignment="1" applyBorder="1" applyFill="1" applyFont="1" applyNumberFormat="1">
      <alignment horizontal="center"/>
    </xf>
    <xf borderId="24" fillId="4" fontId="1" numFmtId="164" xfId="0" applyAlignment="1" applyBorder="1" applyFill="1" applyFont="1" applyNumberFormat="1">
      <alignment horizontal="center"/>
    </xf>
    <xf borderId="46" fillId="10" fontId="4" numFmtId="164" xfId="0" applyAlignment="1" applyBorder="1" applyFill="1" applyFont="1" applyNumberFormat="1">
      <alignment horizontal="center"/>
    </xf>
    <xf borderId="20" fillId="6" fontId="1" numFmtId="169" xfId="0" applyAlignment="1" applyBorder="1" applyFill="1" applyFont="1" applyNumberFormat="1">
      <alignment horizontal="center"/>
    </xf>
    <xf borderId="47" fillId="10" fontId="1" numFmtId="166" xfId="0" applyAlignment="1" applyBorder="1" applyFill="1" applyFont="1" applyNumberFormat="1">
      <alignment horizontal="center"/>
    </xf>
    <xf borderId="24" fillId="10" fontId="4" numFmtId="164" xfId="0" applyAlignment="1" applyBorder="1" applyFill="1" applyFont="1" applyNumberFormat="1">
      <alignment horizontal="center"/>
    </xf>
    <xf borderId="21" fillId="6" fontId="1" numFmtId="169" xfId="0" applyAlignment="1" applyBorder="1" applyFill="1" applyFont="1" applyNumberFormat="1">
      <alignment horizontal="center"/>
    </xf>
    <xf borderId="23" fillId="4" fontId="1" numFmtId="165" xfId="0" applyAlignment="1" applyBorder="1" applyFill="1" applyFont="1" applyNumberFormat="1">
      <alignment horizontal="center"/>
    </xf>
    <xf borderId="23" fillId="10" fontId="1" numFmtId="166" xfId="0" applyAlignment="1" applyBorder="1" applyFill="1" applyFont="1" applyNumberFormat="1">
      <alignment horizontal="center"/>
    </xf>
    <xf borderId="24" fillId="4" fontId="1" numFmtId="165" xfId="0" applyAlignment="1" applyBorder="1" applyFill="1" applyFont="1" applyNumberFormat="1">
      <alignment horizontal="center" vertical="center"/>
    </xf>
    <xf borderId="23" fillId="4" fontId="4" numFmtId="164" xfId="0" applyAlignment="1" applyBorder="1" applyFill="1" applyFont="1" applyNumberFormat="1">
      <alignment horizontal="center" vertical="bottom"/>
    </xf>
    <xf borderId="23" fillId="4" fontId="1" numFmtId="169" xfId="0" applyAlignment="1" applyBorder="1" applyFill="1" applyFont="1" applyNumberFormat="1">
      <alignment horizontal="center" vertical="bottom"/>
    </xf>
    <xf borderId="1" fillId="11" fontId="1" numFmtId="165" xfId="0" applyAlignment="1" applyBorder="1" applyFill="1" applyFont="1" applyNumberFormat="1">
      <alignment vertical="bottom"/>
    </xf>
    <xf borderId="48" fillId="4" fontId="4" numFmtId="164" xfId="0" applyAlignment="1" applyBorder="1" applyFill="1" applyFont="1" applyNumberFormat="1">
      <alignment horizontal="center"/>
    </xf>
    <xf borderId="8" fillId="4" fontId="1" numFmtId="169" xfId="0" applyAlignment="1" applyBorder="1" applyFill="1" applyFont="1" applyNumberFormat="1">
      <alignment horizontal="center"/>
    </xf>
    <xf borderId="26" fillId="4" fontId="1" numFmtId="169" xfId="0" applyAlignment="1" applyBorder="1" applyFill="1" applyFont="1" applyNumberFormat="1">
      <alignment horizontal="center"/>
    </xf>
    <xf borderId="23" fillId="0" fontId="1" numFmtId="167" xfId="0" applyAlignment="1" applyBorder="1" applyFont="1" applyNumberFormat="1">
      <alignment horizontal="center"/>
    </xf>
    <xf borderId="23" fillId="0" fontId="1" numFmtId="9" xfId="0" applyAlignment="1" applyBorder="1" applyFont="1" applyNumberFormat="1">
      <alignment horizontal="center"/>
    </xf>
    <xf borderId="23" fillId="0" fontId="4" numFmtId="164" xfId="0" applyAlignment="1" applyBorder="1" applyFont="1" applyNumberFormat="1">
      <alignment horizontal="center" vertical="bottom"/>
    </xf>
    <xf borderId="23" fillId="0" fontId="1" numFmtId="169" xfId="0" applyAlignment="1" applyBorder="1" applyFont="1" applyNumberFormat="1">
      <alignment horizontal="center" vertical="bottom"/>
    </xf>
    <xf borderId="22" fillId="0" fontId="4" numFmtId="164" xfId="0" applyAlignment="1" applyBorder="1" applyFont="1" applyNumberFormat="1">
      <alignment horizontal="center"/>
    </xf>
    <xf borderId="23" fillId="0" fontId="1" numFmtId="169" xfId="0" applyAlignment="1" applyBorder="1" applyFont="1" applyNumberFormat="1">
      <alignment horizontal="center"/>
    </xf>
    <xf borderId="24" fillId="0" fontId="1" numFmtId="169" xfId="0" applyAlignment="1" applyBorder="1" applyFont="1" applyNumberFormat="1">
      <alignment horizontal="center"/>
    </xf>
    <xf borderId="49" fillId="10" fontId="4" numFmtId="164" xfId="0" applyAlignment="1" applyBorder="1" applyFill="1" applyFont="1" applyNumberFormat="1">
      <alignment horizontal="center"/>
    </xf>
    <xf borderId="22" fillId="4" fontId="4" numFmtId="164" xfId="0" applyAlignment="1" applyBorder="1" applyFill="1" applyFont="1" applyNumberFormat="1">
      <alignment horizontal="center"/>
    </xf>
    <xf borderId="50" fillId="10" fontId="1" numFmtId="166" xfId="0" applyAlignment="1" applyBorder="1" applyFill="1" applyFont="1" applyNumberFormat="1">
      <alignment horizontal="center"/>
    </xf>
    <xf borderId="23" fillId="4" fontId="1" numFmtId="169" xfId="0" applyAlignment="1" applyBorder="1" applyFill="1" applyFont="1" applyNumberFormat="1">
      <alignment horizontal="center"/>
    </xf>
    <xf borderId="51" fillId="10" fontId="1" numFmtId="166" xfId="0" applyAlignment="1" applyBorder="1" applyFill="1" applyFont="1" applyNumberFormat="1">
      <alignment horizontal="center"/>
    </xf>
    <xf borderId="52" fillId="10" fontId="1" numFmtId="166" xfId="0" applyAlignment="1" applyBorder="1" applyFill="1" applyFont="1" applyNumberFormat="1">
      <alignment horizontal="center"/>
    </xf>
    <xf borderId="24" fillId="4" fontId="1" numFmtId="169" xfId="0" applyAlignment="1" applyBorder="1" applyFill="1" applyFont="1" applyNumberFormat="1">
      <alignment horizontal="center"/>
    </xf>
    <xf borderId="53" fillId="10" fontId="1" numFmtId="164" xfId="0" applyAlignment="1" applyBorder="1" applyFill="1" applyFont="1" applyNumberFormat="1">
      <alignment horizontal="center"/>
    </xf>
    <xf borderId="53" fillId="10" fontId="4" numFmtId="164" xfId="0" applyAlignment="1" applyBorder="1" applyFill="1" applyFont="1" applyNumberFormat="1">
      <alignment horizontal="center"/>
    </xf>
    <xf borderId="54" fillId="10" fontId="1" numFmtId="166" xfId="0" applyAlignment="1" applyBorder="1" applyFill="1" applyFont="1" applyNumberFormat="1">
      <alignment horizontal="center"/>
    </xf>
    <xf borderId="21" fillId="10" fontId="4" numFmtId="164" xfId="0" applyAlignment="1" applyBorder="1" applyFill="1" applyFont="1" applyNumberFormat="1">
      <alignment horizontal="center"/>
    </xf>
    <xf borderId="20" fillId="10" fontId="1" numFmtId="166" xfId="0" applyAlignment="1" applyBorder="1" applyFill="1" applyFont="1" applyNumberFormat="1">
      <alignment horizontal="center"/>
    </xf>
    <xf borderId="22" fillId="4" fontId="4" numFmtId="164" xfId="0" applyAlignment="1" applyBorder="1" applyFill="1" applyFont="1" applyNumberFormat="1">
      <alignment horizontal="center" vertical="center"/>
    </xf>
    <xf borderId="23" fillId="4" fontId="1" numFmtId="166" xfId="0" applyAlignment="1" applyBorder="1" applyFill="1" applyFont="1" applyNumberFormat="1">
      <alignment horizontal="center" vertical="center"/>
    </xf>
    <xf borderId="3" fillId="2" fontId="5" numFmtId="0" xfId="0" applyAlignment="1" applyBorder="1" applyFill="1" applyFont="1">
      <alignment horizontal="center"/>
    </xf>
    <xf borderId="55" fillId="0" fontId="3" numFmtId="0" xfId="0" applyBorder="1" applyFont="1"/>
    <xf borderId="26" fillId="4" fontId="1" numFmtId="165" xfId="0" applyAlignment="1" applyBorder="1" applyFill="1" applyFont="1" applyNumberFormat="1">
      <alignment horizontal="center" vertical="center"/>
    </xf>
    <xf borderId="8" fillId="4" fontId="4" numFmtId="164" xfId="0" applyAlignment="1" applyBorder="1" applyFill="1" applyFont="1" applyNumberFormat="1">
      <alignment horizontal="center" vertical="center"/>
    </xf>
    <xf borderId="56" fillId="5" fontId="5" numFmtId="0" xfId="0" applyAlignment="1" applyBorder="1" applyFill="1" applyFont="1">
      <alignment horizontal="center" readingOrder="0"/>
    </xf>
    <xf borderId="26" fillId="4" fontId="4" numFmtId="164" xfId="0" applyAlignment="1" applyBorder="1" applyFill="1" applyFont="1" applyNumberFormat="1">
      <alignment horizontal="center" vertical="center"/>
    </xf>
    <xf borderId="8" fillId="4" fontId="1" numFmtId="166" xfId="0" applyAlignment="1" applyBorder="1" applyFill="1" applyFont="1" applyNumberFormat="1">
      <alignment horizontal="center" vertical="center"/>
    </xf>
    <xf borderId="22" fillId="0" fontId="4" numFmtId="164" xfId="0" applyAlignment="1" applyBorder="1" applyFont="1" applyNumberFormat="1">
      <alignment horizontal="center" vertical="center"/>
    </xf>
    <xf borderId="23" fillId="0" fontId="1" numFmtId="166" xfId="0" applyAlignment="1" applyBorder="1" applyFont="1" applyNumberFormat="1">
      <alignment horizontal="center" vertical="center"/>
    </xf>
    <xf borderId="23" fillId="0" fontId="4" numFmtId="164" xfId="0" applyAlignment="1" applyBorder="1" applyFont="1" applyNumberFormat="1">
      <alignment horizontal="center" vertical="center"/>
    </xf>
    <xf borderId="24" fillId="0" fontId="4" numFmtId="164" xfId="0" applyAlignment="1" applyBorder="1" applyFont="1" applyNumberFormat="1">
      <alignment horizontal="center" vertical="center"/>
    </xf>
    <xf borderId="9" fillId="7" fontId="7" numFmtId="0" xfId="0" applyAlignment="1" applyBorder="1" applyFill="1" applyFont="1">
      <alignment horizontal="center"/>
    </xf>
    <xf borderId="23" fillId="4" fontId="4" numFmtId="164" xfId="0" applyAlignment="1" applyBorder="1" applyFill="1" applyFont="1" applyNumberFormat="1">
      <alignment horizontal="center" vertical="center"/>
    </xf>
    <xf borderId="9" fillId="9" fontId="7" numFmtId="0" xfId="0" applyAlignment="1" applyBorder="1" applyFill="1" applyFont="1">
      <alignment horizontal="center"/>
    </xf>
    <xf borderId="23" fillId="4" fontId="9" numFmtId="0" xfId="0" applyAlignment="1" applyBorder="1" applyFill="1" applyFont="1">
      <alignment horizontal="center"/>
    </xf>
    <xf borderId="23" fillId="4" fontId="4" numFmtId="167" xfId="0" applyAlignment="1" applyBorder="1" applyFill="1" applyFont="1" applyNumberFormat="1">
      <alignment horizontal="center"/>
    </xf>
    <xf borderId="24" fillId="4" fontId="4" numFmtId="164" xfId="0" applyAlignment="1" applyBorder="1" applyFill="1" applyFont="1" applyNumberFormat="1">
      <alignment horizontal="center" vertical="center"/>
    </xf>
    <xf borderId="23" fillId="0" fontId="9" numFmtId="0" xfId="0" applyAlignment="1" applyBorder="1" applyFont="1">
      <alignment horizontal="center"/>
    </xf>
    <xf borderId="23" fillId="0" fontId="4" numFmtId="167" xfId="0" applyAlignment="1" applyBorder="1" applyFont="1" applyNumberFormat="1">
      <alignment horizontal="center"/>
    </xf>
    <xf borderId="3" fillId="2" fontId="1" numFmtId="0" xfId="0" applyBorder="1" applyFill="1" applyFont="1"/>
    <xf borderId="57" fillId="2" fontId="1" numFmtId="0" xfId="0" applyBorder="1" applyFill="1" applyFont="1"/>
    <xf borderId="23" fillId="4" fontId="9" numFmtId="0" xfId="0" applyAlignment="1" applyBorder="1" applyFill="1" applyFont="1">
      <alignment horizontal="center" vertical="center"/>
    </xf>
    <xf borderId="23" fillId="12" fontId="10" numFmtId="164" xfId="0" applyAlignment="1" applyBorder="1" applyFill="1" applyFont="1" applyNumberFormat="1">
      <alignment horizontal="center" vertical="bottom"/>
    </xf>
    <xf borderId="58" fillId="2" fontId="1" numFmtId="0" xfId="0" applyBorder="1" applyFill="1" applyFont="1"/>
    <xf borderId="59" fillId="0" fontId="11" numFmtId="0" xfId="0" applyBorder="1" applyFont="1"/>
    <xf borderId="60" fillId="0" fontId="11" numFmtId="0" xfId="0" applyBorder="1" applyFont="1"/>
    <xf borderId="7" fillId="2" fontId="1" numFmtId="0" xfId="0" applyBorder="1" applyFill="1" applyFont="1"/>
    <xf quotePrefix="1" borderId="23" fillId="12" fontId="10" numFmtId="164" xfId="0" applyAlignment="1" applyBorder="1" applyFill="1" applyFont="1" applyNumberFormat="1">
      <alignment horizontal="center" vertical="bottom"/>
    </xf>
    <xf borderId="61" fillId="2" fontId="1" numFmtId="0" xfId="0" applyBorder="1" applyFill="1" applyFont="1"/>
    <xf borderId="62" fillId="2" fontId="1" numFmtId="0" xfId="0" applyBorder="1" applyFill="1" applyFont="1"/>
    <xf borderId="55" fillId="2" fontId="1" numFmtId="0" xfId="0" applyBorder="1" applyFill="1" applyFont="1"/>
    <xf borderId="23" fillId="11" fontId="1" numFmtId="166" xfId="0" applyAlignment="1" applyBorder="1" applyFill="1" applyFont="1" applyNumberFormat="1">
      <alignment horizontal="center" vertical="bottom"/>
    </xf>
    <xf borderId="24" fillId="11" fontId="1" numFmtId="166" xfId="0" applyAlignment="1" applyBorder="1" applyFill="1" applyFont="1" applyNumberFormat="1">
      <alignment horizontal="center" vertical="bottom"/>
    </xf>
    <xf borderId="63" fillId="0" fontId="11" numFmtId="0" xfId="0" applyBorder="1" applyFont="1"/>
    <xf borderId="64" fillId="0" fontId="11" numFmtId="0" xfId="0" applyBorder="1" applyFont="1"/>
    <xf borderId="22" fillId="12" fontId="10" numFmtId="164" xfId="0" applyAlignment="1" applyBorder="1" applyFill="1" applyFont="1" applyNumberFormat="1">
      <alignment horizontal="center" vertical="bottom"/>
    </xf>
    <xf borderId="20" fillId="4" fontId="4" numFmtId="164" xfId="0" applyAlignment="1" applyBorder="1" applyFill="1" applyFont="1" applyNumberFormat="1">
      <alignment horizontal="center"/>
    </xf>
    <xf borderId="65" fillId="2" fontId="1" numFmtId="0" xfId="0" applyBorder="1" applyFill="1" applyFont="1"/>
    <xf borderId="66" fillId="2" fontId="1" numFmtId="0" xfId="0" applyBorder="1" applyFill="1" applyFont="1"/>
    <xf borderId="67" fillId="2" fontId="1" numFmtId="0" xfId="0" applyBorder="1" applyFill="1" applyFont="1"/>
    <xf borderId="68" fillId="2" fontId="1" numFmtId="0" xfId="0" applyBorder="1" applyFill="1" applyFont="1"/>
    <xf quotePrefix="1" borderId="22" fillId="12" fontId="10" numFmtId="164" xfId="0" applyAlignment="1" applyBorder="1" applyFill="1" applyFont="1" applyNumberFormat="1">
      <alignment horizontal="center" vertical="bottom"/>
    </xf>
    <xf borderId="20" fillId="11" fontId="1" numFmtId="166" xfId="0" applyAlignment="1" applyBorder="1" applyFill="1" applyFont="1" applyNumberFormat="1">
      <alignment horizontal="center" vertical="bottom"/>
    </xf>
    <xf borderId="21" fillId="11" fontId="1" numFmtId="166" xfId="0" applyAlignment="1" applyBorder="1" applyFill="1" applyFont="1" applyNumberFormat="1">
      <alignment horizontal="center" vertical="bottom"/>
    </xf>
    <xf borderId="23" fillId="12" fontId="10" numFmtId="164" xfId="0" applyAlignment="1" applyBorder="1" applyFill="1" applyFont="1" applyNumberFormat="1">
      <alignment horizontal="center" vertical="center"/>
    </xf>
    <xf borderId="23" fillId="11" fontId="1" numFmtId="166" xfId="0" applyAlignment="1" applyBorder="1" applyFill="1" applyFont="1" applyNumberFormat="1">
      <alignment horizontal="center" vertical="center"/>
    </xf>
    <xf borderId="22" fillId="12" fontId="10" numFmtId="164" xfId="0" applyAlignment="1" applyBorder="1" applyFill="1" applyFont="1" applyNumberFormat="1">
      <alignment horizontal="center" vertical="center"/>
    </xf>
    <xf borderId="24" fillId="12" fontId="10" numFmtId="164" xfId="0" applyAlignment="1" applyBorder="1" applyFill="1" applyFont="1" applyNumberFormat="1">
      <alignment horizontal="center" vertical="center"/>
    </xf>
    <xf quotePrefix="1" borderId="22" fillId="12" fontId="10" numFmtId="164" xfId="0" applyAlignment="1" applyBorder="1" applyFill="1" applyFont="1" applyNumberFormat="1">
      <alignment horizontal="center" vertical="center"/>
    </xf>
    <xf borderId="20" fillId="11" fontId="1" numFmtId="166" xfId="0" applyAlignment="1" applyBorder="1" applyFill="1" applyFont="1" applyNumberFormat="1">
      <alignment horizontal="center" vertical="center"/>
    </xf>
    <xf borderId="21" fillId="4" fontId="1" numFmtId="165" xfId="0" applyAlignment="1" applyBorder="1" applyFill="1" applyFont="1" applyNumberFormat="1">
      <alignment horizontal="center" vertical="center"/>
    </xf>
    <xf quotePrefix="1" borderId="20" fillId="12" fontId="10" numFmtId="164" xfId="0" applyAlignment="1" applyBorder="1" applyFill="1" applyFont="1" applyNumberFormat="1">
      <alignment horizontal="center" vertical="center"/>
    </xf>
    <xf quotePrefix="1" borderId="21" fillId="12" fontId="10" numFmtId="164" xfId="0" applyAlignment="1" applyBorder="1" applyFill="1" applyFont="1" applyNumberFormat="1">
      <alignment horizontal="center" vertical="center"/>
    </xf>
    <xf borderId="68" fillId="2" fontId="1" numFmtId="166" xfId="0" applyAlignment="1" applyBorder="1" applyFill="1" applyFont="1" applyNumberFormat="1">
      <alignment vertical="center"/>
    </xf>
    <xf borderId="68" fillId="2" fontId="1" numFmtId="0" xfId="0" applyAlignment="1" applyBorder="1" applyFill="1" applyFont="1">
      <alignment vertical="center"/>
    </xf>
    <xf borderId="9" fillId="2" fontId="12" numFmtId="0" xfId="0" applyAlignment="1" applyBorder="1" applyFill="1" applyFont="1">
      <alignment horizontal="center" vertical="center"/>
    </xf>
    <xf borderId="9" fillId="2" fontId="12" numFmtId="0" xfId="0" applyAlignment="1" applyBorder="1" applyFill="1" applyFont="1">
      <alignment vertical="center"/>
    </xf>
    <xf borderId="9" fillId="2" fontId="13" numFmtId="0" xfId="0" applyAlignment="1" applyBorder="1" applyFill="1" applyFont="1">
      <alignment vertical="center"/>
    </xf>
    <xf borderId="19" fillId="4" fontId="1" numFmtId="0" xfId="0" applyAlignment="1" applyBorder="1" applyFill="1" applyFont="1">
      <alignment horizontal="left" vertical="center"/>
    </xf>
    <xf borderId="8" fillId="4" fontId="1" numFmtId="0" xfId="0" applyAlignment="1" applyBorder="1" applyFill="1" applyFont="1">
      <alignment horizontal="center" vertical="center"/>
    </xf>
    <xf borderId="26" fillId="4" fontId="1" numFmtId="0" xfId="0" applyAlignment="1" applyBorder="1" applyFill="1" applyFont="1">
      <alignment horizontal="center" vertical="center"/>
    </xf>
    <xf borderId="24" fillId="0" fontId="1" numFmtId="0" xfId="0" applyAlignment="1" applyBorder="1" applyFont="1">
      <alignment horizontal="left" vertical="center"/>
    </xf>
    <xf borderId="23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vertical="center"/>
    </xf>
    <xf borderId="24" fillId="4" fontId="1" numFmtId="0" xfId="0" applyAlignment="1" applyBorder="1" applyFill="1" applyFont="1">
      <alignment horizontal="left" vertical="center"/>
    </xf>
    <xf borderId="23" fillId="4" fontId="1" numFmtId="0" xfId="0" applyAlignment="1" applyBorder="1" applyFill="1" applyFont="1">
      <alignment horizontal="center" vertical="center"/>
    </xf>
    <xf borderId="24" fillId="4" fontId="1" numFmtId="0" xfId="0" applyAlignment="1" applyBorder="1" applyFill="1" applyFont="1">
      <alignment horizontal="center" vertical="center"/>
    </xf>
    <xf borderId="21" fillId="4" fontId="1" numFmtId="0" xfId="0" applyAlignment="1" applyBorder="1" applyFill="1" applyFont="1">
      <alignment horizontal="left" vertical="center"/>
    </xf>
    <xf borderId="20" fillId="4" fontId="1" numFmtId="0" xfId="0" applyAlignment="1" applyBorder="1" applyFill="1" applyFont="1">
      <alignment horizontal="center" vertical="center"/>
    </xf>
    <xf borderId="21" fillId="4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5">
    <dxf>
      <font>
        <b/>
        <color theme="0"/>
      </font>
      <fill>
        <patternFill patternType="solid">
          <fgColor theme="9"/>
          <bgColor theme="9"/>
        </patternFill>
      </fill>
      <border/>
    </dxf>
    <dxf>
      <font>
        <b/>
        <color theme="0"/>
      </font>
      <fill>
        <patternFill patternType="solid">
          <fgColor rgb="FF7030A0"/>
          <bgColor rgb="FF7030A0"/>
        </patternFill>
      </fill>
      <border/>
    </dxf>
    <dxf>
      <font>
        <b/>
        <color rgb="FFFFC000"/>
      </font>
      <fill>
        <patternFill patternType="solid">
          <fgColor rgb="FF494429"/>
          <bgColor rgb="FF494429"/>
        </patternFill>
      </fill>
      <border/>
    </dxf>
    <dxf>
      <font>
        <b/>
        <color rgb="FFFFFFFF"/>
      </font>
      <fill>
        <patternFill patternType="solid">
          <fgColor rgb="FFA64D79"/>
          <bgColor rgb="FFA64D79"/>
        </patternFill>
      </fill>
      <border/>
    </dxf>
    <dxf>
      <font>
        <b/>
        <color rgb="FFD2002E"/>
      </font>
      <fill>
        <patternFill patternType="solid">
          <fgColor rgb="FFFFCC00"/>
          <bgColor rgb="FFFFCC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247650</xdr:colOff>
      <xdr:row>4</xdr:row>
      <xdr:rowOff>47625</xdr:rowOff>
    </xdr:from>
    <xdr:ext cx="285750" cy="333375"/>
    <xdr:pic>
      <xdr:nvPicPr>
        <xdr:cNvPr descr="Image result for ups logo 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4</xdr:row>
      <xdr:rowOff>85725</xdr:rowOff>
    </xdr:from>
    <xdr:ext cx="695325" cy="247650"/>
    <xdr:pic>
      <xdr:nvPicPr>
        <xdr:cNvPr descr="Image result for fedex logo pn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247650</xdr:colOff>
      <xdr:row>4</xdr:row>
      <xdr:rowOff>47625</xdr:rowOff>
    </xdr:from>
    <xdr:ext cx="285750" cy="333375"/>
    <xdr:pic>
      <xdr:nvPicPr>
        <xdr:cNvPr descr="Image result for ups logo 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4</xdr:row>
      <xdr:rowOff>133350</xdr:rowOff>
    </xdr:from>
    <xdr:ext cx="1247775" cy="9715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523875" cy="4191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6</xdr:row>
      <xdr:rowOff>0</xdr:rowOff>
    </xdr:from>
    <xdr:ext cx="276225" cy="3333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409575" cy="3333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</xdr:row>
      <xdr:rowOff>0</xdr:rowOff>
    </xdr:from>
    <xdr:ext cx="276225" cy="3333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</xdr:row>
      <xdr:rowOff>0</xdr:rowOff>
    </xdr:from>
    <xdr:ext cx="409575" cy="3333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180975</xdr:colOff>
      <xdr:row>1</xdr:row>
      <xdr:rowOff>85725</xdr:rowOff>
    </xdr:from>
    <xdr:ext cx="828675" cy="295275"/>
    <xdr:pic>
      <xdr:nvPicPr>
        <xdr:cNvPr descr="Image result for fedex logo 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238125</xdr:colOff>
      <xdr:row>1</xdr:row>
      <xdr:rowOff>85725</xdr:rowOff>
    </xdr:from>
    <xdr:ext cx="828675" cy="295275"/>
    <xdr:pic>
      <xdr:nvPicPr>
        <xdr:cNvPr descr="Image result for fedex logo 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447675</xdr:colOff>
      <xdr:row>1</xdr:row>
      <xdr:rowOff>85725</xdr:rowOff>
    </xdr:from>
    <xdr:ext cx="828675" cy="2952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1</xdr:row>
      <xdr:rowOff>28575</xdr:rowOff>
    </xdr:from>
    <xdr:ext cx="361950" cy="428625"/>
    <xdr:pic>
      <xdr:nvPicPr>
        <xdr:cNvPr descr="Image result for ups logo png"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1</xdr:row>
      <xdr:rowOff>28575</xdr:rowOff>
    </xdr:from>
    <xdr:ext cx="361950" cy="428625"/>
    <xdr:pic>
      <xdr:nvPicPr>
        <xdr:cNvPr descr="Image result for ups logo png"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1</xdr:row>
      <xdr:rowOff>123825</xdr:rowOff>
    </xdr:from>
    <xdr:ext cx="647700" cy="476250"/>
    <xdr:pic>
      <xdr:nvPicPr>
        <xdr:cNvPr descr="Image result for fedex logo png"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2</xdr:row>
      <xdr:rowOff>76200</xdr:rowOff>
    </xdr:from>
    <xdr:ext cx="285750" cy="333375"/>
    <xdr:pic>
      <xdr:nvPicPr>
        <xdr:cNvPr descr="Image result for ups logo pn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3" width="9.14"/>
    <col customWidth="1" min="4" max="5" width="12.71"/>
    <col customWidth="1" min="6" max="6" width="9.14"/>
    <col customWidth="1" min="7" max="7" width="5.43"/>
    <col customWidth="1" min="8" max="8" width="9.14"/>
    <col customWidth="1" min="9" max="9" width="12.43"/>
    <col customWidth="1" min="10" max="10" width="14.0"/>
    <col customWidth="1" min="11" max="13" width="15.14"/>
    <col customWidth="1" min="14" max="14" width="12.86"/>
    <col customWidth="1" min="15" max="15" width="5.43"/>
    <col customWidth="1" min="16" max="16" width="9.14"/>
    <col customWidth="1" min="17" max="17" width="12.43"/>
    <col customWidth="1" min="18" max="18" width="14.0"/>
    <col customWidth="1" min="19" max="21" width="15.14"/>
    <col customWidth="1" min="22" max="22" width="12.86"/>
    <col customWidth="1" min="23" max="24" width="9.14"/>
  </cols>
  <sheetData>
    <row r="1" ht="14.25" customHeight="1">
      <c r="A1" s="7"/>
      <c r="B1" s="7"/>
      <c r="C1" s="7"/>
      <c r="D1" s="7"/>
      <c r="E1" s="7"/>
      <c r="F1" s="7"/>
      <c r="G1" s="7"/>
      <c r="H1" s="7"/>
      <c r="I1" s="16"/>
      <c r="J1" s="16"/>
      <c r="K1" s="16"/>
      <c r="L1" s="17"/>
      <c r="M1" s="16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ht="14.25" customHeight="1">
      <c r="A2" s="7"/>
      <c r="B2" s="7"/>
      <c r="C2" s="29" t="s">
        <v>12</v>
      </c>
      <c r="D2" s="31"/>
      <c r="E2" s="7"/>
      <c r="F2" s="7"/>
      <c r="G2" s="7"/>
      <c r="H2" s="7"/>
      <c r="I2" s="16"/>
      <c r="J2" s="16"/>
      <c r="K2" s="16"/>
      <c r="L2" s="17"/>
      <c r="M2" s="16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ht="14.25" customHeight="1">
      <c r="A3" s="7"/>
      <c r="B3" s="7"/>
      <c r="C3" s="29" t="s">
        <v>15</v>
      </c>
      <c r="D3" s="31"/>
      <c r="E3" s="7"/>
      <c r="F3" s="7"/>
      <c r="G3" s="7"/>
      <c r="H3" s="7"/>
      <c r="I3" s="16"/>
      <c r="J3" s="16"/>
      <c r="K3" s="16"/>
      <c r="L3" s="17"/>
      <c r="M3" s="16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14.25" customHeight="1">
      <c r="A4" s="7"/>
      <c r="B4" s="7"/>
      <c r="C4" s="7"/>
      <c r="D4" s="7"/>
      <c r="E4" s="7"/>
      <c r="F4" s="7"/>
      <c r="G4" s="7"/>
      <c r="H4" s="7"/>
      <c r="I4" s="49" t="s">
        <v>17</v>
      </c>
      <c r="J4" s="11"/>
      <c r="K4" s="11"/>
      <c r="L4" s="11"/>
      <c r="M4" s="11"/>
      <c r="N4" s="13"/>
      <c r="O4" s="7"/>
      <c r="P4" s="7"/>
      <c r="Q4" s="51" t="s">
        <v>19</v>
      </c>
      <c r="R4" s="11"/>
      <c r="S4" s="11"/>
      <c r="T4" s="11"/>
      <c r="U4" s="11"/>
      <c r="V4" s="13"/>
      <c r="W4" s="7"/>
      <c r="X4" s="7"/>
    </row>
    <row r="5" ht="33.0" customHeight="1">
      <c r="A5" s="7"/>
      <c r="B5" s="56"/>
      <c r="C5" s="59"/>
      <c r="D5" s="59"/>
      <c r="E5" s="59"/>
      <c r="F5" s="61"/>
      <c r="G5" s="7"/>
      <c r="H5" s="7"/>
      <c r="I5" s="63"/>
      <c r="J5" s="63"/>
      <c r="K5" s="65" t="s">
        <v>20</v>
      </c>
      <c r="L5" s="66" t="s">
        <v>22</v>
      </c>
      <c r="M5" s="65" t="s">
        <v>23</v>
      </c>
      <c r="N5" s="67" t="s">
        <v>24</v>
      </c>
      <c r="O5" s="7"/>
      <c r="P5" s="7"/>
      <c r="Q5" s="63"/>
      <c r="R5" s="63"/>
      <c r="S5" s="65" t="s">
        <v>20</v>
      </c>
      <c r="T5" s="66" t="s">
        <v>22</v>
      </c>
      <c r="U5" s="65" t="s">
        <v>23</v>
      </c>
      <c r="V5" s="67" t="s">
        <v>24</v>
      </c>
      <c r="W5" s="7"/>
      <c r="X5" s="7"/>
    </row>
    <row r="6" ht="14.25" customHeight="1">
      <c r="A6" s="7"/>
      <c r="B6" s="69"/>
      <c r="C6" s="7"/>
      <c r="D6" s="7"/>
      <c r="E6" s="7"/>
      <c r="F6" s="71"/>
      <c r="G6" s="7"/>
      <c r="H6" s="72">
        <v>0.5</v>
      </c>
      <c r="I6" s="88">
        <f>VLOOKUP($H6,UPS!$B$10:$H$106,((VLOOKUP($E$10,Areas!$B$4:$D$200,2,FALSE))+1),FALSE)</f>
        <v>18.02</v>
      </c>
      <c r="J6" s="88">
        <f>VLOOKUP($H6,FedEx!$B$10:$I$96,((VLOOKUP($E$10,Areas!$B$4:$D$200,3,FALSE))+1),FALSE)</f>
        <v>35.49</v>
      </c>
      <c r="K6" s="88">
        <f t="shared" ref="K6:K68" si="1">MINA(I6:J6)</f>
        <v>18.02</v>
      </c>
      <c r="L6" s="94" t="str">
        <f t="shared" ref="L6:L68" si="2">$D$2</f>
        <v/>
      </c>
      <c r="M6" s="88">
        <f t="shared" ref="M6:M68" si="3">K6/(1-L6)</f>
        <v>18.02</v>
      </c>
      <c r="N6" s="111" t="str">
        <f t="shared" ref="N6:N68" si="4">IF(I6=K6,"UPS",IF(J6=K6,"FedEx",IF(#REF!=K6,"TNT",0)))</f>
        <v>UPS</v>
      </c>
      <c r="O6" s="7"/>
      <c r="P6" s="72">
        <v>0.5</v>
      </c>
      <c r="Q6" s="88">
        <f>VLOOKUP($P6, UPS!$J$10:$P$106,((VLOOKUP($E$10,Areas!$B$4:$D$200,2,FALSE))+1),FALSE)</f>
        <v>19.2</v>
      </c>
      <c r="R6" s="88">
        <f>VLOOKUP($P6, FedEx!$K$10:$R$96,((VLOOKUP($E$10,Areas!$B$4:$D$200,3,FALSE))+1),FALSE)</f>
        <v>32.45</v>
      </c>
      <c r="S6" s="88">
        <f t="shared" ref="S6:S68" si="5">MINA(Q6:R6)</f>
        <v>19.2</v>
      </c>
      <c r="T6" s="94" t="str">
        <f t="shared" ref="T6:T68" si="6">$D$2</f>
        <v/>
      </c>
      <c r="U6" s="88">
        <f t="shared" ref="U6:U68" si="7">S6/(1-T6)</f>
        <v>19.2</v>
      </c>
      <c r="V6" s="111" t="str">
        <f t="shared" ref="V6:V68" si="8">IF(Q6=S6,"UPS",IF(R6=S6,"FedEx",IF(#REF!=S6,"TNT",0)))</f>
        <v>UPS</v>
      </c>
      <c r="W6" s="7"/>
      <c r="X6" s="7"/>
    </row>
    <row r="7" ht="14.25" customHeight="1">
      <c r="A7" s="7"/>
      <c r="B7" s="69"/>
      <c r="C7" s="7"/>
      <c r="D7" s="7"/>
      <c r="E7" s="7"/>
      <c r="F7" s="71"/>
      <c r="G7" s="7"/>
      <c r="H7" s="96">
        <v>1.0</v>
      </c>
      <c r="I7" s="120">
        <f>VLOOKUP($H7,UPS!$B$10:$H$106,((VLOOKUP($E$10,Areas!$B$4:$D$200,2,FALSE))+1),FALSE)</f>
        <v>21.03</v>
      </c>
      <c r="J7" s="120">
        <f>VLOOKUP($H7,FedEx!$B$10:$I$96,((VLOOKUP($E$10,Areas!$B$4:$D$200,3,FALSE))+1),FALSE)</f>
        <v>41.3</v>
      </c>
      <c r="K7" s="120">
        <f t="shared" si="1"/>
        <v>21.03</v>
      </c>
      <c r="L7" s="121" t="str">
        <f t="shared" si="2"/>
        <v/>
      </c>
      <c r="M7" s="120">
        <f t="shared" si="3"/>
        <v>21.03</v>
      </c>
      <c r="N7" s="111" t="str">
        <f t="shared" si="4"/>
        <v>UPS</v>
      </c>
      <c r="O7" s="7"/>
      <c r="P7" s="96">
        <v>1.0</v>
      </c>
      <c r="Q7" s="120">
        <f>VLOOKUP($P7, UPS!$J$10:$P$106,((VLOOKUP($E$10,Areas!$B$4:$D$200,2,FALSE))+1),FALSE)</f>
        <v>22.35</v>
      </c>
      <c r="R7" s="120">
        <f>VLOOKUP($P7, FedEx!$K$10:$R$96,((VLOOKUP($E$10,Areas!$B$4:$D$200,3,FALSE))+1),FALSE)</f>
        <v>37.7</v>
      </c>
      <c r="S7" s="120">
        <f t="shared" si="5"/>
        <v>22.35</v>
      </c>
      <c r="T7" s="121" t="str">
        <f t="shared" si="6"/>
        <v/>
      </c>
      <c r="U7" s="120">
        <f t="shared" si="7"/>
        <v>22.35</v>
      </c>
      <c r="V7" s="111" t="str">
        <f t="shared" si="8"/>
        <v>UPS</v>
      </c>
      <c r="W7" s="7"/>
      <c r="X7" s="7"/>
    </row>
    <row r="8" ht="14.25" customHeight="1">
      <c r="A8" s="7"/>
      <c r="B8" s="69"/>
      <c r="C8" s="7"/>
      <c r="D8" s="7"/>
      <c r="E8" s="7"/>
      <c r="F8" s="71"/>
      <c r="G8" s="7"/>
      <c r="H8" s="72">
        <v>1.5</v>
      </c>
      <c r="I8" s="88">
        <f>VLOOKUP($H8,UPS!$B$10:$H$106,((VLOOKUP($E$10,Areas!$B$4:$D$200,2,FALSE))+1),FALSE)</f>
        <v>24.04</v>
      </c>
      <c r="J8" s="88">
        <f>VLOOKUP($H8,FedEx!$B$10:$I$96,((VLOOKUP($E$10,Areas!$B$4:$D$200,3,FALSE))+1),FALSE)</f>
        <v>47.11</v>
      </c>
      <c r="K8" s="88">
        <f t="shared" si="1"/>
        <v>24.04</v>
      </c>
      <c r="L8" s="94" t="str">
        <f t="shared" si="2"/>
        <v/>
      </c>
      <c r="M8" s="88">
        <f t="shared" si="3"/>
        <v>24.04</v>
      </c>
      <c r="N8" s="111" t="str">
        <f t="shared" si="4"/>
        <v>UPS</v>
      </c>
      <c r="O8" s="7"/>
      <c r="P8" s="72">
        <v>1.5</v>
      </c>
      <c r="Q8" s="88">
        <f>VLOOKUP($P8, UPS!$J$10:$P$106,((VLOOKUP($E$10,Areas!$B$4:$D$200,2,FALSE))+1),FALSE)</f>
        <v>25.58</v>
      </c>
      <c r="R8" s="88">
        <f>VLOOKUP($P8, FedEx!$K$10:$R$96,((VLOOKUP($E$10,Areas!$B$4:$D$200,3,FALSE))+1),FALSE)</f>
        <v>42.94</v>
      </c>
      <c r="S8" s="88">
        <f t="shared" si="5"/>
        <v>25.58</v>
      </c>
      <c r="T8" s="94" t="str">
        <f t="shared" si="6"/>
        <v/>
      </c>
      <c r="U8" s="88">
        <f t="shared" si="7"/>
        <v>25.58</v>
      </c>
      <c r="V8" s="111" t="str">
        <f t="shared" si="8"/>
        <v>UPS</v>
      </c>
      <c r="W8" s="7"/>
      <c r="X8" s="7"/>
    </row>
    <row r="9" ht="14.25" customHeight="1">
      <c r="A9" s="7"/>
      <c r="B9" s="69"/>
      <c r="C9" s="7"/>
      <c r="D9" s="7"/>
      <c r="E9" s="7"/>
      <c r="F9" s="71"/>
      <c r="G9" s="7"/>
      <c r="H9" s="96">
        <v>2.0</v>
      </c>
      <c r="I9" s="120">
        <f>VLOOKUP($H9,UPS!$B$10:$H$106,((VLOOKUP($E$10,Areas!$B$4:$D$200,2,FALSE))+1),FALSE)</f>
        <v>27.27</v>
      </c>
      <c r="J9" s="120">
        <f>VLOOKUP($H9,FedEx!$B$10:$I$96,((VLOOKUP($E$10,Areas!$B$4:$D$200,3,FALSE))+1),FALSE)</f>
        <v>52.92</v>
      </c>
      <c r="K9" s="120">
        <f t="shared" si="1"/>
        <v>27.27</v>
      </c>
      <c r="L9" s="121" t="str">
        <f t="shared" si="2"/>
        <v/>
      </c>
      <c r="M9" s="120">
        <f t="shared" si="3"/>
        <v>27.27</v>
      </c>
      <c r="N9" s="111" t="str">
        <f t="shared" si="4"/>
        <v>UPS</v>
      </c>
      <c r="O9" s="7"/>
      <c r="P9" s="96">
        <v>2.0</v>
      </c>
      <c r="Q9" s="120">
        <f>VLOOKUP($P9, UPS!$J$10:$P$106,((VLOOKUP($E$10,Areas!$B$4:$D$200,2,FALSE))+1),FALSE)</f>
        <v>29.02</v>
      </c>
      <c r="R9" s="120">
        <f>VLOOKUP($P9, FedEx!$K$10:$R$96,((VLOOKUP($E$10,Areas!$B$4:$D$200,3,FALSE))+1),FALSE)</f>
        <v>48.19</v>
      </c>
      <c r="S9" s="120">
        <f t="shared" si="5"/>
        <v>29.02</v>
      </c>
      <c r="T9" s="121" t="str">
        <f t="shared" si="6"/>
        <v/>
      </c>
      <c r="U9" s="120">
        <f t="shared" si="7"/>
        <v>29.02</v>
      </c>
      <c r="V9" s="111" t="str">
        <f t="shared" si="8"/>
        <v>UPS</v>
      </c>
      <c r="W9" s="7"/>
      <c r="X9" s="7"/>
    </row>
    <row r="10" ht="14.25" customHeight="1">
      <c r="A10" s="7"/>
      <c r="B10" s="69"/>
      <c r="C10" s="141" t="s">
        <v>4</v>
      </c>
      <c r="D10" s="142"/>
      <c r="E10" s="145" t="s">
        <v>27</v>
      </c>
      <c r="F10" s="71"/>
      <c r="G10" s="7"/>
      <c r="H10" s="72">
        <v>2.5</v>
      </c>
      <c r="I10" s="88">
        <f>VLOOKUP($H10,UPS!$B$10:$H$106,((VLOOKUP($E$10,Areas!$B$4:$D$200,2,FALSE))+1),FALSE)</f>
        <v>30.02</v>
      </c>
      <c r="J10" s="88">
        <f>VLOOKUP($H10,FedEx!$B$10:$I$96,((VLOOKUP($E$10,Areas!$B$4:$D$200,3,FALSE))+1),FALSE)</f>
        <v>58.73</v>
      </c>
      <c r="K10" s="88">
        <f t="shared" si="1"/>
        <v>30.02</v>
      </c>
      <c r="L10" s="94" t="str">
        <f t="shared" si="2"/>
        <v/>
      </c>
      <c r="M10" s="88">
        <f t="shared" si="3"/>
        <v>30.02</v>
      </c>
      <c r="N10" s="111" t="str">
        <f t="shared" si="4"/>
        <v>UPS</v>
      </c>
      <c r="O10" s="7"/>
      <c r="P10" s="72">
        <v>2.5</v>
      </c>
      <c r="Q10" s="88">
        <f>VLOOKUP($P10, UPS!$J$10:$P$106,((VLOOKUP($E$10,Areas!$B$4:$D$200,2,FALSE))+1),FALSE)</f>
        <v>31.94</v>
      </c>
      <c r="R10" s="88">
        <f>VLOOKUP($P10, FedEx!$K$10:$R$96,((VLOOKUP($E$10,Areas!$B$4:$D$200,3,FALSE))+1),FALSE)</f>
        <v>53.44</v>
      </c>
      <c r="S10" s="88">
        <f t="shared" si="5"/>
        <v>31.94</v>
      </c>
      <c r="T10" s="94" t="str">
        <f t="shared" si="6"/>
        <v/>
      </c>
      <c r="U10" s="88">
        <f t="shared" si="7"/>
        <v>31.94</v>
      </c>
      <c r="V10" s="111" t="str">
        <f t="shared" si="8"/>
        <v>UPS</v>
      </c>
      <c r="W10" s="7"/>
      <c r="X10" s="7"/>
    </row>
    <row r="11" ht="14.25" customHeight="1">
      <c r="A11" s="7"/>
      <c r="B11" s="69"/>
      <c r="C11" s="7"/>
      <c r="D11" s="7"/>
      <c r="E11" s="7"/>
      <c r="F11" s="71"/>
      <c r="G11" s="7"/>
      <c r="H11" s="96">
        <v>3.0</v>
      </c>
      <c r="I11" s="120">
        <f>VLOOKUP($H11,UPS!$B$10:$H$106,((VLOOKUP($E$10,Areas!$B$4:$D$200,2,FALSE))+1),FALSE)</f>
        <v>31.79</v>
      </c>
      <c r="J11" s="120">
        <f>VLOOKUP($H11,FedEx!$B$10:$I$96,((VLOOKUP($E$10,Areas!$B$4:$D$200,3,FALSE))+1),FALSE)</f>
        <v>64.48</v>
      </c>
      <c r="K11" s="120">
        <f t="shared" si="1"/>
        <v>31.79</v>
      </c>
      <c r="L11" s="121" t="str">
        <f t="shared" si="2"/>
        <v/>
      </c>
      <c r="M11" s="120">
        <f t="shared" si="3"/>
        <v>31.79</v>
      </c>
      <c r="N11" s="111" t="str">
        <f t="shared" si="4"/>
        <v>UPS</v>
      </c>
      <c r="O11" s="7"/>
      <c r="P11" s="96">
        <v>3.0</v>
      </c>
      <c r="Q11" s="120">
        <f>VLOOKUP($P11, UPS!$J$10:$P$106,((VLOOKUP($E$10,Areas!$B$4:$D$200,2,FALSE))+1),FALSE)</f>
        <v>33.83</v>
      </c>
      <c r="R11" s="120">
        <f>VLOOKUP($P11, FedEx!$K$10:$R$96,((VLOOKUP($E$10,Areas!$B$4:$D$200,3,FALSE))+1),FALSE)</f>
        <v>58.72</v>
      </c>
      <c r="S11" s="120">
        <f t="shared" si="5"/>
        <v>33.83</v>
      </c>
      <c r="T11" s="121" t="str">
        <f t="shared" si="6"/>
        <v/>
      </c>
      <c r="U11" s="120">
        <f t="shared" si="7"/>
        <v>33.83</v>
      </c>
      <c r="V11" s="111" t="str">
        <f t="shared" si="8"/>
        <v>UPS</v>
      </c>
      <c r="W11" s="7"/>
      <c r="X11" s="7"/>
    </row>
    <row r="12" ht="14.25" customHeight="1">
      <c r="A12" s="7"/>
      <c r="B12" s="69"/>
      <c r="C12" s="7"/>
      <c r="D12" s="152" t="s">
        <v>25</v>
      </c>
      <c r="E12" s="154" t="s">
        <v>1</v>
      </c>
      <c r="F12" s="71"/>
      <c r="G12" s="7"/>
      <c r="H12" s="72">
        <v>3.5</v>
      </c>
      <c r="I12" s="88">
        <f>VLOOKUP($H12,UPS!$B$10:$H$106,((VLOOKUP($E$10,Areas!$B$4:$D$200,2,FALSE))+1),FALSE)</f>
        <v>33.75</v>
      </c>
      <c r="J12" s="88">
        <f>VLOOKUP($H12,FedEx!$B$10:$I$96,((VLOOKUP($E$10,Areas!$B$4:$D$200,3,FALSE))+1),FALSE)</f>
        <v>70.23</v>
      </c>
      <c r="K12" s="88">
        <f t="shared" si="1"/>
        <v>33.75</v>
      </c>
      <c r="L12" s="94" t="str">
        <f t="shared" si="2"/>
        <v/>
      </c>
      <c r="M12" s="88">
        <f t="shared" si="3"/>
        <v>33.75</v>
      </c>
      <c r="N12" s="111" t="str">
        <f t="shared" si="4"/>
        <v>UPS</v>
      </c>
      <c r="O12" s="7"/>
      <c r="P12" s="72">
        <v>3.5</v>
      </c>
      <c r="Q12" s="88">
        <f>VLOOKUP($P12, UPS!$J$10:$P$106,((VLOOKUP($E$10,Areas!$B$4:$D$200,2,FALSE))+1),FALSE)</f>
        <v>35.93</v>
      </c>
      <c r="R12" s="88">
        <f>VLOOKUP($P12, FedEx!$K$10:$R$96,((VLOOKUP($E$10,Areas!$B$4:$D$200,3,FALSE))+1),FALSE)</f>
        <v>64</v>
      </c>
      <c r="S12" s="88">
        <f t="shared" si="5"/>
        <v>35.93</v>
      </c>
      <c r="T12" s="94" t="str">
        <f t="shared" si="6"/>
        <v/>
      </c>
      <c r="U12" s="88">
        <f t="shared" si="7"/>
        <v>35.93</v>
      </c>
      <c r="V12" s="111" t="str">
        <f t="shared" si="8"/>
        <v>UPS</v>
      </c>
      <c r="W12" s="7"/>
      <c r="X12" s="7"/>
    </row>
    <row r="13" ht="14.25" customHeight="1">
      <c r="A13" s="7"/>
      <c r="B13" s="69"/>
      <c r="C13" s="155">
        <v>0.5</v>
      </c>
      <c r="D13" s="156">
        <f t="shared" ref="D13:D75" si="9">M6+(M6*$D$3)</f>
        <v>18.02</v>
      </c>
      <c r="E13" s="156">
        <f t="shared" ref="E13:E75" si="10">U6+(U6*$D$3)</f>
        <v>19.2</v>
      </c>
      <c r="F13" s="71"/>
      <c r="G13" s="7"/>
      <c r="H13" s="96">
        <v>4.0</v>
      </c>
      <c r="I13" s="120">
        <f>VLOOKUP($H13,UPS!$B$10:$H$106,((VLOOKUP($E$10,Areas!$B$4:$D$200,2,FALSE))+1),FALSE)</f>
        <v>35.74</v>
      </c>
      <c r="J13" s="120">
        <f>VLOOKUP($H13,FedEx!$B$10:$I$96,((VLOOKUP($E$10,Areas!$B$4:$D$200,3,FALSE))+1),FALSE)</f>
        <v>75.97</v>
      </c>
      <c r="K13" s="120">
        <f t="shared" si="1"/>
        <v>35.74</v>
      </c>
      <c r="L13" s="121" t="str">
        <f t="shared" si="2"/>
        <v/>
      </c>
      <c r="M13" s="120">
        <f t="shared" si="3"/>
        <v>35.74</v>
      </c>
      <c r="N13" s="111" t="str">
        <f t="shared" si="4"/>
        <v>UPS</v>
      </c>
      <c r="O13" s="7"/>
      <c r="P13" s="96">
        <v>4.0</v>
      </c>
      <c r="Q13" s="120">
        <f>VLOOKUP($P13, UPS!$J$10:$P$106,((VLOOKUP($E$10,Areas!$B$4:$D$200,2,FALSE))+1),FALSE)</f>
        <v>38.03</v>
      </c>
      <c r="R13" s="120">
        <f>VLOOKUP($P13, FedEx!$K$10:$R$96,((VLOOKUP($E$10,Areas!$B$4:$D$200,3,FALSE))+1),FALSE)</f>
        <v>69.28</v>
      </c>
      <c r="S13" s="120">
        <f t="shared" si="5"/>
        <v>38.03</v>
      </c>
      <c r="T13" s="121" t="str">
        <f t="shared" si="6"/>
        <v/>
      </c>
      <c r="U13" s="120">
        <f t="shared" si="7"/>
        <v>38.03</v>
      </c>
      <c r="V13" s="111" t="str">
        <f t="shared" si="8"/>
        <v>UPS</v>
      </c>
      <c r="W13" s="7"/>
      <c r="X13" s="7"/>
    </row>
    <row r="14" ht="14.25" customHeight="1">
      <c r="A14" s="7"/>
      <c r="B14" s="69"/>
      <c r="C14" s="158">
        <v>1.0</v>
      </c>
      <c r="D14" s="159">
        <f t="shared" si="9"/>
        <v>21.03</v>
      </c>
      <c r="E14" s="159">
        <f t="shared" si="10"/>
        <v>22.35</v>
      </c>
      <c r="F14" s="71"/>
      <c r="G14" s="7"/>
      <c r="H14" s="72">
        <v>4.5</v>
      </c>
      <c r="I14" s="88">
        <f>VLOOKUP($H14,UPS!$B$10:$H$106,((VLOOKUP($E$10,Areas!$B$4:$D$200,2,FALSE))+1),FALSE)</f>
        <v>37.86</v>
      </c>
      <c r="J14" s="88">
        <f>VLOOKUP($H14,FedEx!$B$10:$I$96,((VLOOKUP($E$10,Areas!$B$4:$D$200,3,FALSE))+1),FALSE)</f>
        <v>81.72</v>
      </c>
      <c r="K14" s="88">
        <f t="shared" si="1"/>
        <v>37.86</v>
      </c>
      <c r="L14" s="94" t="str">
        <f t="shared" si="2"/>
        <v/>
      </c>
      <c r="M14" s="88">
        <f t="shared" si="3"/>
        <v>37.86</v>
      </c>
      <c r="N14" s="111" t="str">
        <f t="shared" si="4"/>
        <v>UPS</v>
      </c>
      <c r="O14" s="7"/>
      <c r="P14" s="72">
        <v>4.5</v>
      </c>
      <c r="Q14" s="88">
        <f>VLOOKUP($P14, UPS!$J$10:$P$106,((VLOOKUP($E$10,Areas!$B$4:$D$200,2,FALSE))+1),FALSE)</f>
        <v>40.27</v>
      </c>
      <c r="R14" s="88">
        <f>VLOOKUP($P14, FedEx!$K$10:$R$96,((VLOOKUP($E$10,Areas!$B$4:$D$200,3,FALSE))+1),FALSE)</f>
        <v>74.56</v>
      </c>
      <c r="S14" s="88">
        <f t="shared" si="5"/>
        <v>40.27</v>
      </c>
      <c r="T14" s="94" t="str">
        <f t="shared" si="6"/>
        <v/>
      </c>
      <c r="U14" s="88">
        <f t="shared" si="7"/>
        <v>40.27</v>
      </c>
      <c r="V14" s="111" t="str">
        <f t="shared" si="8"/>
        <v>UPS</v>
      </c>
      <c r="W14" s="7"/>
      <c r="X14" s="7"/>
    </row>
    <row r="15" ht="14.25" customHeight="1">
      <c r="A15" s="7"/>
      <c r="B15" s="69"/>
      <c r="C15" s="155">
        <v>1.5</v>
      </c>
      <c r="D15" s="156">
        <f t="shared" si="9"/>
        <v>24.04</v>
      </c>
      <c r="E15" s="156">
        <f t="shared" si="10"/>
        <v>25.58</v>
      </c>
      <c r="F15" s="71"/>
      <c r="G15" s="7"/>
      <c r="H15" s="96">
        <v>5.0</v>
      </c>
      <c r="I15" s="120">
        <f>VLOOKUP($H15,UPS!$B$10:$H$106,((VLOOKUP($E$10,Areas!$B$4:$D$200,2,FALSE))+1),FALSE)</f>
        <v>40.07</v>
      </c>
      <c r="J15" s="120">
        <f>VLOOKUP($H15,FedEx!$B$10:$I$96,((VLOOKUP($E$10,Areas!$B$4:$D$200,3,FALSE))+1),FALSE)</f>
        <v>87.46</v>
      </c>
      <c r="K15" s="120">
        <f t="shared" si="1"/>
        <v>40.07</v>
      </c>
      <c r="L15" s="121" t="str">
        <f t="shared" si="2"/>
        <v/>
      </c>
      <c r="M15" s="120">
        <f t="shared" si="3"/>
        <v>40.07</v>
      </c>
      <c r="N15" s="111" t="str">
        <f t="shared" si="4"/>
        <v>UPS</v>
      </c>
      <c r="O15" s="7"/>
      <c r="P15" s="96">
        <v>5.0</v>
      </c>
      <c r="Q15" s="120">
        <f>VLOOKUP($P15, UPS!$J$10:$P$106,((VLOOKUP($E$10,Areas!$B$4:$D$200,2,FALSE))+1),FALSE)</f>
        <v>42.64</v>
      </c>
      <c r="R15" s="120">
        <f>VLOOKUP($P15, FedEx!$K$10:$R$96,((VLOOKUP($E$10,Areas!$B$4:$D$200,3,FALSE))+1),FALSE)</f>
        <v>79.84</v>
      </c>
      <c r="S15" s="120">
        <f t="shared" si="5"/>
        <v>42.64</v>
      </c>
      <c r="T15" s="121" t="str">
        <f t="shared" si="6"/>
        <v/>
      </c>
      <c r="U15" s="120">
        <f t="shared" si="7"/>
        <v>42.64</v>
      </c>
      <c r="V15" s="111" t="str">
        <f t="shared" si="8"/>
        <v>UPS</v>
      </c>
      <c r="W15" s="7"/>
      <c r="X15" s="7"/>
    </row>
    <row r="16" ht="14.25" customHeight="1">
      <c r="A16" s="7"/>
      <c r="B16" s="69"/>
      <c r="C16" s="158">
        <v>2.0</v>
      </c>
      <c r="D16" s="159">
        <f t="shared" si="9"/>
        <v>27.27</v>
      </c>
      <c r="E16" s="159">
        <f t="shared" si="10"/>
        <v>29.02</v>
      </c>
      <c r="F16" s="71"/>
      <c r="G16" s="7"/>
      <c r="H16" s="72">
        <v>5.5</v>
      </c>
      <c r="I16" s="88">
        <f>VLOOKUP($H16,UPS!$B$10:$H$106,((VLOOKUP($E$10,Areas!$B$4:$D$200,2,FALSE))+1),FALSE)</f>
        <v>41.99</v>
      </c>
      <c r="J16" s="88">
        <f>VLOOKUP($H16,FedEx!$B$10:$I$96,((VLOOKUP($E$10,Areas!$B$4:$D$200,3,FALSE))+1),FALSE)</f>
        <v>91.18</v>
      </c>
      <c r="K16" s="88">
        <f t="shared" si="1"/>
        <v>41.99</v>
      </c>
      <c r="L16" s="94" t="str">
        <f t="shared" si="2"/>
        <v/>
      </c>
      <c r="M16" s="88">
        <f t="shared" si="3"/>
        <v>41.99</v>
      </c>
      <c r="N16" s="111" t="str">
        <f t="shared" si="4"/>
        <v>UPS</v>
      </c>
      <c r="O16" s="7"/>
      <c r="P16" s="72">
        <v>5.5</v>
      </c>
      <c r="Q16" s="88">
        <f>VLOOKUP($P16, UPS!$J$10:$P$106,((VLOOKUP($E$10,Areas!$B$4:$D$200,2,FALSE))+1),FALSE)</f>
        <v>44.67</v>
      </c>
      <c r="R16" s="88">
        <f>VLOOKUP($P16, FedEx!$K$10:$R$96,((VLOOKUP($E$10,Areas!$B$4:$D$200,3,FALSE))+1),FALSE)</f>
        <v>83.19</v>
      </c>
      <c r="S16" s="88">
        <f t="shared" si="5"/>
        <v>44.67</v>
      </c>
      <c r="T16" s="94" t="str">
        <f t="shared" si="6"/>
        <v/>
      </c>
      <c r="U16" s="88">
        <f t="shared" si="7"/>
        <v>44.67</v>
      </c>
      <c r="V16" s="111" t="str">
        <f t="shared" si="8"/>
        <v>UPS</v>
      </c>
      <c r="W16" s="7"/>
      <c r="X16" s="7"/>
    </row>
    <row r="17" ht="14.25" customHeight="1">
      <c r="A17" s="7"/>
      <c r="B17" s="69"/>
      <c r="C17" s="155">
        <v>2.5</v>
      </c>
      <c r="D17" s="156">
        <f t="shared" si="9"/>
        <v>30.02</v>
      </c>
      <c r="E17" s="156">
        <f t="shared" si="10"/>
        <v>31.94</v>
      </c>
      <c r="F17" s="71"/>
      <c r="G17" s="7"/>
      <c r="H17" s="96">
        <v>6.0</v>
      </c>
      <c r="I17" s="120">
        <f>VLOOKUP($H17,UPS!$B$10:$H$106,((VLOOKUP($E$10,Areas!$B$4:$D$200,2,FALSE))+1),FALSE)</f>
        <v>44.07</v>
      </c>
      <c r="J17" s="120">
        <f>VLOOKUP($H17,FedEx!$B$10:$I$96,((VLOOKUP($E$10,Areas!$B$4:$D$200,3,FALSE))+1),FALSE)</f>
        <v>94.9</v>
      </c>
      <c r="K17" s="120">
        <f t="shared" si="1"/>
        <v>44.07</v>
      </c>
      <c r="L17" s="121" t="str">
        <f t="shared" si="2"/>
        <v/>
      </c>
      <c r="M17" s="120">
        <f t="shared" si="3"/>
        <v>44.07</v>
      </c>
      <c r="N17" s="111" t="str">
        <f t="shared" si="4"/>
        <v>UPS</v>
      </c>
      <c r="O17" s="7"/>
      <c r="P17" s="96">
        <v>6.0</v>
      </c>
      <c r="Q17" s="120">
        <f>VLOOKUP($P17, UPS!$J$10:$P$106,((VLOOKUP($E$10,Areas!$B$4:$D$200,2,FALSE))+1),FALSE)</f>
        <v>46.88</v>
      </c>
      <c r="R17" s="120">
        <f>VLOOKUP($P17, FedEx!$K$10:$R$96,((VLOOKUP($E$10,Areas!$B$4:$D$200,3,FALSE))+1),FALSE)</f>
        <v>86.55</v>
      </c>
      <c r="S17" s="120">
        <f t="shared" si="5"/>
        <v>46.88</v>
      </c>
      <c r="T17" s="121" t="str">
        <f t="shared" si="6"/>
        <v/>
      </c>
      <c r="U17" s="120">
        <f t="shared" si="7"/>
        <v>46.88</v>
      </c>
      <c r="V17" s="111" t="str">
        <f t="shared" si="8"/>
        <v>UPS</v>
      </c>
      <c r="W17" s="7"/>
      <c r="X17" s="7"/>
    </row>
    <row r="18" ht="14.25" customHeight="1">
      <c r="A18" s="7"/>
      <c r="B18" s="69"/>
      <c r="C18" s="158">
        <v>3.0</v>
      </c>
      <c r="D18" s="159">
        <f t="shared" si="9"/>
        <v>31.79</v>
      </c>
      <c r="E18" s="159">
        <f t="shared" si="10"/>
        <v>33.83</v>
      </c>
      <c r="F18" s="71"/>
      <c r="G18" s="7"/>
      <c r="H18" s="72">
        <v>6.5</v>
      </c>
      <c r="I18" s="88">
        <f>VLOOKUP($H18,UPS!$B$10:$H$106,((VLOOKUP($E$10,Areas!$B$4:$D$200,2,FALSE))+1),FALSE)</f>
        <v>45.77</v>
      </c>
      <c r="J18" s="88">
        <f>VLOOKUP($H18,FedEx!$B$10:$I$96,((VLOOKUP($E$10,Areas!$B$4:$D$200,3,FALSE))+1),FALSE)</f>
        <v>98.62</v>
      </c>
      <c r="K18" s="88">
        <f t="shared" si="1"/>
        <v>45.77</v>
      </c>
      <c r="L18" s="94" t="str">
        <f t="shared" si="2"/>
        <v/>
      </c>
      <c r="M18" s="88">
        <f t="shared" si="3"/>
        <v>45.77</v>
      </c>
      <c r="N18" s="111" t="str">
        <f t="shared" si="4"/>
        <v>UPS</v>
      </c>
      <c r="O18" s="7"/>
      <c r="P18" s="72">
        <v>6.5</v>
      </c>
      <c r="Q18" s="88">
        <f>VLOOKUP($P18, UPS!$J$10:$P$106,((VLOOKUP($E$10,Areas!$B$4:$D$200,2,FALSE))+1),FALSE)</f>
        <v>48.69</v>
      </c>
      <c r="R18" s="88">
        <f>VLOOKUP($P18, FedEx!$K$10:$R$96,((VLOOKUP($E$10,Areas!$B$4:$D$200,3,FALSE))+1),FALSE)</f>
        <v>89.9</v>
      </c>
      <c r="S18" s="88">
        <f t="shared" si="5"/>
        <v>48.69</v>
      </c>
      <c r="T18" s="94" t="str">
        <f t="shared" si="6"/>
        <v/>
      </c>
      <c r="U18" s="88">
        <f t="shared" si="7"/>
        <v>48.69</v>
      </c>
      <c r="V18" s="111" t="str">
        <f t="shared" si="8"/>
        <v>UPS</v>
      </c>
      <c r="W18" s="7"/>
      <c r="X18" s="7"/>
    </row>
    <row r="19" ht="14.25" customHeight="1">
      <c r="A19" s="7"/>
      <c r="B19" s="69"/>
      <c r="C19" s="155">
        <v>3.5</v>
      </c>
      <c r="D19" s="156">
        <f t="shared" si="9"/>
        <v>33.75</v>
      </c>
      <c r="E19" s="156">
        <f t="shared" si="10"/>
        <v>35.93</v>
      </c>
      <c r="F19" s="71"/>
      <c r="G19" s="7"/>
      <c r="H19" s="96">
        <v>7.0</v>
      </c>
      <c r="I19" s="120">
        <f>VLOOKUP($H19,UPS!$B$10:$H$106,((VLOOKUP($E$10,Areas!$B$4:$D$200,2,FALSE))+1),FALSE)</f>
        <v>47.71</v>
      </c>
      <c r="J19" s="120">
        <f>VLOOKUP($H19,FedEx!$B$10:$I$96,((VLOOKUP($E$10,Areas!$B$4:$D$200,3,FALSE))+1),FALSE)</f>
        <v>102.34</v>
      </c>
      <c r="K19" s="120">
        <f t="shared" si="1"/>
        <v>47.71</v>
      </c>
      <c r="L19" s="121" t="str">
        <f t="shared" si="2"/>
        <v/>
      </c>
      <c r="M19" s="120">
        <f t="shared" si="3"/>
        <v>47.71</v>
      </c>
      <c r="N19" s="111" t="str">
        <f t="shared" si="4"/>
        <v>UPS</v>
      </c>
      <c r="O19" s="7"/>
      <c r="P19" s="96">
        <v>7.0</v>
      </c>
      <c r="Q19" s="120">
        <f>VLOOKUP($P19, UPS!$J$10:$P$106,((VLOOKUP($E$10,Areas!$B$4:$D$200,2,FALSE))+1),FALSE)</f>
        <v>50.73</v>
      </c>
      <c r="R19" s="120">
        <f>VLOOKUP($P19, FedEx!$K$10:$R$96,((VLOOKUP($E$10,Areas!$B$4:$D$200,3,FALSE))+1),FALSE)</f>
        <v>93.26</v>
      </c>
      <c r="S19" s="120">
        <f t="shared" si="5"/>
        <v>50.73</v>
      </c>
      <c r="T19" s="121" t="str">
        <f t="shared" si="6"/>
        <v/>
      </c>
      <c r="U19" s="120">
        <f t="shared" si="7"/>
        <v>50.73</v>
      </c>
      <c r="V19" s="111" t="str">
        <f t="shared" si="8"/>
        <v>UPS</v>
      </c>
      <c r="W19" s="7"/>
      <c r="X19" s="7"/>
    </row>
    <row r="20" ht="14.25" customHeight="1">
      <c r="A20" s="7"/>
      <c r="B20" s="69"/>
      <c r="C20" s="158">
        <v>4.0</v>
      </c>
      <c r="D20" s="159">
        <f t="shared" si="9"/>
        <v>35.74</v>
      </c>
      <c r="E20" s="159">
        <f t="shared" si="10"/>
        <v>38.03</v>
      </c>
      <c r="F20" s="71"/>
      <c r="G20" s="7"/>
      <c r="H20" s="72">
        <v>7.5</v>
      </c>
      <c r="I20" s="88">
        <f>VLOOKUP($H20,UPS!$B$10:$H$106,((VLOOKUP($E$10,Areas!$B$4:$D$200,2,FALSE))+1),FALSE)</f>
        <v>49.87</v>
      </c>
      <c r="J20" s="88">
        <f>VLOOKUP($H20,FedEx!$B$10:$I$96,((VLOOKUP($E$10,Areas!$B$4:$D$200,3,FALSE))+1),FALSE)</f>
        <v>106.05</v>
      </c>
      <c r="K20" s="88">
        <f t="shared" si="1"/>
        <v>49.87</v>
      </c>
      <c r="L20" s="94" t="str">
        <f t="shared" si="2"/>
        <v/>
      </c>
      <c r="M20" s="88">
        <f t="shared" si="3"/>
        <v>49.87</v>
      </c>
      <c r="N20" s="111" t="str">
        <f t="shared" si="4"/>
        <v>UPS</v>
      </c>
      <c r="O20" s="7"/>
      <c r="P20" s="72">
        <v>7.5</v>
      </c>
      <c r="Q20" s="88">
        <f>VLOOKUP($P20, UPS!$J$10:$P$106,((VLOOKUP($E$10,Areas!$B$4:$D$200,2,FALSE))+1),FALSE)</f>
        <v>53.05</v>
      </c>
      <c r="R20" s="88">
        <f>VLOOKUP($P20, FedEx!$K$10:$R$96,((VLOOKUP($E$10,Areas!$B$4:$D$200,3,FALSE))+1),FALSE)</f>
        <v>96.61</v>
      </c>
      <c r="S20" s="88">
        <f t="shared" si="5"/>
        <v>53.05</v>
      </c>
      <c r="T20" s="94" t="str">
        <f t="shared" si="6"/>
        <v/>
      </c>
      <c r="U20" s="88">
        <f t="shared" si="7"/>
        <v>53.05</v>
      </c>
      <c r="V20" s="111" t="str">
        <f t="shared" si="8"/>
        <v>UPS</v>
      </c>
      <c r="W20" s="7"/>
      <c r="X20" s="7"/>
    </row>
    <row r="21" ht="14.25" customHeight="1">
      <c r="A21" s="7"/>
      <c r="B21" s="69"/>
      <c r="C21" s="155">
        <v>4.5</v>
      </c>
      <c r="D21" s="156">
        <f t="shared" si="9"/>
        <v>37.86</v>
      </c>
      <c r="E21" s="156">
        <f t="shared" si="10"/>
        <v>40.27</v>
      </c>
      <c r="F21" s="71"/>
      <c r="G21" s="7"/>
      <c r="H21" s="96">
        <v>8.0</v>
      </c>
      <c r="I21" s="120">
        <f>VLOOKUP($H21,UPS!$B$10:$H$106,((VLOOKUP($E$10,Areas!$B$4:$D$200,2,FALSE))+1),FALSE)</f>
        <v>51.75</v>
      </c>
      <c r="J21" s="120">
        <f>VLOOKUP($H21,FedEx!$B$10:$I$96,((VLOOKUP($E$10,Areas!$B$4:$D$200,3,FALSE))+1),FALSE)</f>
        <v>109.77</v>
      </c>
      <c r="K21" s="120">
        <f t="shared" si="1"/>
        <v>51.75</v>
      </c>
      <c r="L21" s="121" t="str">
        <f t="shared" si="2"/>
        <v/>
      </c>
      <c r="M21" s="120">
        <f t="shared" si="3"/>
        <v>51.75</v>
      </c>
      <c r="N21" s="111" t="str">
        <f t="shared" si="4"/>
        <v>UPS</v>
      </c>
      <c r="O21" s="7"/>
      <c r="P21" s="96">
        <v>8.0</v>
      </c>
      <c r="Q21" s="120">
        <f>VLOOKUP($P21, UPS!$J$10:$P$106,((VLOOKUP($E$10,Areas!$B$4:$D$200,2,FALSE))+1),FALSE)</f>
        <v>55.03</v>
      </c>
      <c r="R21" s="120">
        <f>VLOOKUP($P21, FedEx!$K$10:$R$96,((VLOOKUP($E$10,Areas!$B$4:$D$200,3,FALSE))+1),FALSE)</f>
        <v>99.97</v>
      </c>
      <c r="S21" s="120">
        <f t="shared" si="5"/>
        <v>55.03</v>
      </c>
      <c r="T21" s="121" t="str">
        <f t="shared" si="6"/>
        <v/>
      </c>
      <c r="U21" s="120">
        <f t="shared" si="7"/>
        <v>55.03</v>
      </c>
      <c r="V21" s="111" t="str">
        <f t="shared" si="8"/>
        <v>UPS</v>
      </c>
      <c r="W21" s="7"/>
      <c r="X21" s="7"/>
    </row>
    <row r="22" ht="14.25" customHeight="1">
      <c r="A22" s="7"/>
      <c r="B22" s="69"/>
      <c r="C22" s="158">
        <v>5.0</v>
      </c>
      <c r="D22" s="159">
        <f t="shared" si="9"/>
        <v>40.07</v>
      </c>
      <c r="E22" s="159">
        <f t="shared" si="10"/>
        <v>42.64</v>
      </c>
      <c r="F22" s="71"/>
      <c r="G22" s="7"/>
      <c r="H22" s="72">
        <v>8.5</v>
      </c>
      <c r="I22" s="88">
        <f>VLOOKUP($H22,UPS!$B$10:$H$106,((VLOOKUP($E$10,Areas!$B$4:$D$200,2,FALSE))+1),FALSE)</f>
        <v>53.53</v>
      </c>
      <c r="J22" s="88">
        <f>VLOOKUP($H22,FedEx!$B$10:$I$96,((VLOOKUP($E$10,Areas!$B$4:$D$200,3,FALSE))+1),FALSE)</f>
        <v>113.49</v>
      </c>
      <c r="K22" s="88">
        <f t="shared" si="1"/>
        <v>53.53</v>
      </c>
      <c r="L22" s="94" t="str">
        <f t="shared" si="2"/>
        <v/>
      </c>
      <c r="M22" s="88">
        <f t="shared" si="3"/>
        <v>53.53</v>
      </c>
      <c r="N22" s="111" t="str">
        <f t="shared" si="4"/>
        <v>UPS</v>
      </c>
      <c r="O22" s="7"/>
      <c r="P22" s="72">
        <v>8.5</v>
      </c>
      <c r="Q22" s="88">
        <f>VLOOKUP($P22, UPS!$J$10:$P$106,((VLOOKUP($E$10,Areas!$B$4:$D$200,2,FALSE))+1),FALSE)</f>
        <v>56.98</v>
      </c>
      <c r="R22" s="88">
        <f>VLOOKUP($P22, FedEx!$K$10:$R$96,((VLOOKUP($E$10,Areas!$B$4:$D$200,3,FALSE))+1),FALSE)</f>
        <v>103.32</v>
      </c>
      <c r="S22" s="88">
        <f t="shared" si="5"/>
        <v>56.98</v>
      </c>
      <c r="T22" s="94" t="str">
        <f t="shared" si="6"/>
        <v/>
      </c>
      <c r="U22" s="88">
        <f t="shared" si="7"/>
        <v>56.98</v>
      </c>
      <c r="V22" s="111" t="str">
        <f t="shared" si="8"/>
        <v>UPS</v>
      </c>
      <c r="W22" s="7"/>
      <c r="X22" s="7"/>
    </row>
    <row r="23" ht="14.25" customHeight="1">
      <c r="A23" s="7"/>
      <c r="B23" s="69"/>
      <c r="C23" s="155">
        <v>5.5</v>
      </c>
      <c r="D23" s="156">
        <f t="shared" si="9"/>
        <v>41.99</v>
      </c>
      <c r="E23" s="156">
        <f t="shared" si="10"/>
        <v>44.67</v>
      </c>
      <c r="F23" s="71"/>
      <c r="G23" s="7"/>
      <c r="H23" s="96">
        <v>9.0</v>
      </c>
      <c r="I23" s="120">
        <f>VLOOKUP($H23,UPS!$B$10:$H$106,((VLOOKUP($E$10,Areas!$B$4:$D$200,2,FALSE))+1),FALSE)</f>
        <v>55.38</v>
      </c>
      <c r="J23" s="120">
        <f>VLOOKUP($H23,FedEx!$B$10:$I$96,((VLOOKUP($E$10,Areas!$B$4:$D$200,3,FALSE))+1),FALSE)</f>
        <v>117.21</v>
      </c>
      <c r="K23" s="120">
        <f t="shared" si="1"/>
        <v>55.38</v>
      </c>
      <c r="L23" s="121" t="str">
        <f t="shared" si="2"/>
        <v/>
      </c>
      <c r="M23" s="120">
        <f t="shared" si="3"/>
        <v>55.38</v>
      </c>
      <c r="N23" s="111" t="str">
        <f t="shared" si="4"/>
        <v>UPS</v>
      </c>
      <c r="O23" s="7"/>
      <c r="P23" s="96">
        <v>9.0</v>
      </c>
      <c r="Q23" s="120">
        <f>VLOOKUP($P23, UPS!$J$10:$P$106,((VLOOKUP($E$10,Areas!$B$4:$D$200,2,FALSE))+1),FALSE)</f>
        <v>58.93</v>
      </c>
      <c r="R23" s="120">
        <f>VLOOKUP($P23, FedEx!$K$10:$R$96,((VLOOKUP($E$10,Areas!$B$4:$D$200,3,FALSE))+1),FALSE)</f>
        <v>106.68</v>
      </c>
      <c r="S23" s="120">
        <f t="shared" si="5"/>
        <v>58.93</v>
      </c>
      <c r="T23" s="121" t="str">
        <f t="shared" si="6"/>
        <v/>
      </c>
      <c r="U23" s="120">
        <f t="shared" si="7"/>
        <v>58.93</v>
      </c>
      <c r="V23" s="111" t="str">
        <f t="shared" si="8"/>
        <v>UPS</v>
      </c>
      <c r="W23" s="7"/>
      <c r="X23" s="7"/>
    </row>
    <row r="24" ht="14.25" customHeight="1">
      <c r="A24" s="7"/>
      <c r="B24" s="69"/>
      <c r="C24" s="158">
        <v>6.0</v>
      </c>
      <c r="D24" s="159">
        <f t="shared" si="9"/>
        <v>44.07</v>
      </c>
      <c r="E24" s="159">
        <f t="shared" si="10"/>
        <v>46.88</v>
      </c>
      <c r="F24" s="71"/>
      <c r="G24" s="7"/>
      <c r="H24" s="153">
        <v>9.5</v>
      </c>
      <c r="I24" s="88">
        <f>VLOOKUP($H24,UPS!$B$10:$H$106,((VLOOKUP($E$10,Areas!$B$4:$D$200,2,FALSE))+1),FALSE)</f>
        <v>57.12</v>
      </c>
      <c r="J24" s="88">
        <f>VLOOKUP($H24,FedEx!$B$10:$I$96,((VLOOKUP($E$10,Areas!$B$4:$D$200,3,FALSE))+1),FALSE)</f>
        <v>120.93</v>
      </c>
      <c r="K24" s="88">
        <f t="shared" si="1"/>
        <v>57.12</v>
      </c>
      <c r="L24" s="94" t="str">
        <f t="shared" si="2"/>
        <v/>
      </c>
      <c r="M24" s="88">
        <f t="shared" si="3"/>
        <v>57.12</v>
      </c>
      <c r="N24" s="111" t="str">
        <f t="shared" si="4"/>
        <v>UPS</v>
      </c>
      <c r="O24" s="7"/>
      <c r="P24" s="153">
        <v>9.5</v>
      </c>
      <c r="Q24" s="88">
        <f>VLOOKUP($P24, UPS!$J$10:$P$106,((VLOOKUP($E$10,Areas!$B$4:$D$200,2,FALSE))+1),FALSE)</f>
        <v>60.78</v>
      </c>
      <c r="R24" s="88">
        <f>VLOOKUP($P24, FedEx!$K$10:$R$96,((VLOOKUP($E$10,Areas!$B$4:$D$200,3,FALSE))+1),FALSE)</f>
        <v>110.03</v>
      </c>
      <c r="S24" s="88">
        <f t="shared" si="5"/>
        <v>60.78</v>
      </c>
      <c r="T24" s="94" t="str">
        <f t="shared" si="6"/>
        <v/>
      </c>
      <c r="U24" s="88">
        <f t="shared" si="7"/>
        <v>60.78</v>
      </c>
      <c r="V24" s="111" t="str">
        <f t="shared" si="8"/>
        <v>UPS</v>
      </c>
      <c r="W24" s="7"/>
      <c r="X24" s="7"/>
    </row>
    <row r="25" ht="14.25" customHeight="1">
      <c r="A25" s="7"/>
      <c r="B25" s="69"/>
      <c r="C25" s="155">
        <v>6.5</v>
      </c>
      <c r="D25" s="156">
        <f t="shared" si="9"/>
        <v>45.77</v>
      </c>
      <c r="E25" s="156">
        <f t="shared" si="10"/>
        <v>48.69</v>
      </c>
      <c r="F25" s="71"/>
      <c r="G25" s="7"/>
      <c r="H25" s="96">
        <v>10.0</v>
      </c>
      <c r="I25" s="120">
        <f>VLOOKUP($H25,UPS!$B$10:$H$106,((VLOOKUP($E$10,Areas!$B$4:$D$200,2,FALSE))+1),FALSE)</f>
        <v>58.86</v>
      </c>
      <c r="J25" s="120">
        <f>VLOOKUP($H25,FedEx!$B$10:$I$96,((VLOOKUP($E$10,Areas!$B$4:$D$200,3,FALSE))+1),FALSE)</f>
        <v>124.64</v>
      </c>
      <c r="K25" s="120">
        <f t="shared" si="1"/>
        <v>58.86</v>
      </c>
      <c r="L25" s="121" t="str">
        <f t="shared" si="2"/>
        <v/>
      </c>
      <c r="M25" s="120">
        <f t="shared" si="3"/>
        <v>58.86</v>
      </c>
      <c r="N25" s="111" t="str">
        <f t="shared" si="4"/>
        <v>UPS</v>
      </c>
      <c r="O25" s="7"/>
      <c r="P25" s="96">
        <v>10.0</v>
      </c>
      <c r="Q25" s="120">
        <f>VLOOKUP($P25, UPS!$J$10:$P$106,((VLOOKUP($E$10,Areas!$B$4:$D$200,2,FALSE))+1),FALSE)</f>
        <v>62.61</v>
      </c>
      <c r="R25" s="120">
        <f>VLOOKUP($P25, FedEx!$K$10:$R$96,((VLOOKUP($E$10,Areas!$B$4:$D$200,3,FALSE))+1),FALSE)</f>
        <v>113.39</v>
      </c>
      <c r="S25" s="120">
        <f t="shared" si="5"/>
        <v>62.61</v>
      </c>
      <c r="T25" s="121" t="str">
        <f t="shared" si="6"/>
        <v/>
      </c>
      <c r="U25" s="120">
        <f t="shared" si="7"/>
        <v>62.61</v>
      </c>
      <c r="V25" s="111" t="str">
        <f t="shared" si="8"/>
        <v>UPS</v>
      </c>
      <c r="W25" s="7"/>
      <c r="X25" s="7"/>
    </row>
    <row r="26" ht="14.25" customHeight="1">
      <c r="A26" s="7"/>
      <c r="B26" s="69"/>
      <c r="C26" s="158">
        <v>7.0</v>
      </c>
      <c r="D26" s="159">
        <f t="shared" si="9"/>
        <v>47.71</v>
      </c>
      <c r="E26" s="159">
        <f t="shared" si="10"/>
        <v>50.73</v>
      </c>
      <c r="F26" s="71"/>
      <c r="G26" s="7"/>
      <c r="H26" s="72">
        <v>10.5</v>
      </c>
      <c r="I26" s="88">
        <f>VLOOKUP($H26,UPS!$B$10:$H$106,((VLOOKUP($E$10,Areas!$B$4:$D$200,2,FALSE))+1),FALSE)</f>
        <v>60.8</v>
      </c>
      <c r="J26" s="88">
        <f>VLOOKUP($H26,FedEx!$B$10:$I$96,((VLOOKUP($E$10,Areas!$B$4:$D$200,3,FALSE))+1),FALSE)</f>
        <v>137.05</v>
      </c>
      <c r="K26" s="88">
        <f t="shared" si="1"/>
        <v>60.8</v>
      </c>
      <c r="L26" s="94" t="str">
        <f t="shared" si="2"/>
        <v/>
      </c>
      <c r="M26" s="88">
        <f t="shared" si="3"/>
        <v>60.8</v>
      </c>
      <c r="N26" s="111" t="str">
        <f t="shared" si="4"/>
        <v>UPS</v>
      </c>
      <c r="O26" s="7"/>
      <c r="P26" s="72">
        <v>10.5</v>
      </c>
      <c r="Q26" s="88">
        <f>VLOOKUP($P26, UPS!$J$10:$P$106,((VLOOKUP($E$10,Areas!$B$4:$D$200,2,FALSE))+1),FALSE)</f>
        <v>64.68</v>
      </c>
      <c r="R26" s="88">
        <f>VLOOKUP($P26, FedEx!$K$10:$R$96,((VLOOKUP($E$10,Areas!$B$4:$D$200,3,FALSE))+1),FALSE)</f>
        <v>126.3</v>
      </c>
      <c r="S26" s="88">
        <f t="shared" si="5"/>
        <v>64.68</v>
      </c>
      <c r="T26" s="94" t="str">
        <f t="shared" si="6"/>
        <v/>
      </c>
      <c r="U26" s="88">
        <f t="shared" si="7"/>
        <v>64.68</v>
      </c>
      <c r="V26" s="111" t="str">
        <f t="shared" si="8"/>
        <v>UPS</v>
      </c>
      <c r="W26" s="7"/>
      <c r="X26" s="7"/>
    </row>
    <row r="27" ht="14.25" customHeight="1">
      <c r="A27" s="7"/>
      <c r="B27" s="69"/>
      <c r="C27" s="155">
        <v>7.5</v>
      </c>
      <c r="D27" s="156">
        <f t="shared" si="9"/>
        <v>49.87</v>
      </c>
      <c r="E27" s="156">
        <f t="shared" si="10"/>
        <v>53.05</v>
      </c>
      <c r="F27" s="71"/>
      <c r="G27" s="7"/>
      <c r="H27" s="96">
        <v>11.0</v>
      </c>
      <c r="I27" s="120">
        <f>VLOOKUP($H27,UPS!$B$10:$H$106,((VLOOKUP($E$10,Areas!$B$4:$D$200,2,FALSE))+1),FALSE)</f>
        <v>61.84</v>
      </c>
      <c r="J27" s="120">
        <f>VLOOKUP($H27,FedEx!$B$10:$I$96,((VLOOKUP($E$10,Areas!$B$4:$D$200,3,FALSE))+1),FALSE)</f>
        <v>139.86</v>
      </c>
      <c r="K27" s="120">
        <f t="shared" si="1"/>
        <v>61.84</v>
      </c>
      <c r="L27" s="121" t="str">
        <f t="shared" si="2"/>
        <v/>
      </c>
      <c r="M27" s="120">
        <f t="shared" si="3"/>
        <v>61.84</v>
      </c>
      <c r="N27" s="111" t="str">
        <f t="shared" si="4"/>
        <v>UPS</v>
      </c>
      <c r="O27" s="7"/>
      <c r="P27" s="96">
        <v>11.0</v>
      </c>
      <c r="Q27" s="120">
        <f>VLOOKUP($P27, UPS!$J$10:$P$106,((VLOOKUP($E$10,Areas!$B$4:$D$200,2,FALSE))+1),FALSE)</f>
        <v>65.79</v>
      </c>
      <c r="R27" s="120">
        <f>VLOOKUP($P27, FedEx!$K$10:$R$96,((VLOOKUP($E$10,Areas!$B$4:$D$200,3,FALSE))+1),FALSE)</f>
        <v>128.9</v>
      </c>
      <c r="S27" s="120">
        <f t="shared" si="5"/>
        <v>65.79</v>
      </c>
      <c r="T27" s="121" t="str">
        <f t="shared" si="6"/>
        <v/>
      </c>
      <c r="U27" s="120">
        <f t="shared" si="7"/>
        <v>65.79</v>
      </c>
      <c r="V27" s="111" t="str">
        <f t="shared" si="8"/>
        <v>UPS</v>
      </c>
      <c r="W27" s="7"/>
      <c r="X27" s="7"/>
    </row>
    <row r="28" ht="14.25" customHeight="1">
      <c r="A28" s="7"/>
      <c r="B28" s="69"/>
      <c r="C28" s="158">
        <v>8.0</v>
      </c>
      <c r="D28" s="159">
        <f t="shared" si="9"/>
        <v>51.75</v>
      </c>
      <c r="E28" s="159">
        <f t="shared" si="10"/>
        <v>55.03</v>
      </c>
      <c r="F28" s="71"/>
      <c r="G28" s="7"/>
      <c r="H28" s="72">
        <v>11.5</v>
      </c>
      <c r="I28" s="88">
        <f>VLOOKUP($H28,UPS!$B$10:$H$106,((VLOOKUP($E$10,Areas!$B$4:$D$200,2,FALSE))+1),FALSE)</f>
        <v>64.04</v>
      </c>
      <c r="J28" s="88">
        <f>VLOOKUP($H28,FedEx!$B$10:$I$96,((VLOOKUP($E$10,Areas!$B$4:$D$200,3,FALSE))+1),FALSE)</f>
        <v>142.67</v>
      </c>
      <c r="K28" s="88">
        <f t="shared" si="1"/>
        <v>64.04</v>
      </c>
      <c r="L28" s="94" t="str">
        <f t="shared" si="2"/>
        <v/>
      </c>
      <c r="M28" s="88">
        <f t="shared" si="3"/>
        <v>64.04</v>
      </c>
      <c r="N28" s="111" t="str">
        <f t="shared" si="4"/>
        <v>UPS</v>
      </c>
      <c r="O28" s="7"/>
      <c r="P28" s="72">
        <v>11.5</v>
      </c>
      <c r="Q28" s="88">
        <f>VLOOKUP($P28, UPS!$J$10:$P$106,((VLOOKUP($E$10,Areas!$B$4:$D$200,2,FALSE))+1),FALSE)</f>
        <v>68.09</v>
      </c>
      <c r="R28" s="88">
        <f>VLOOKUP($P28, FedEx!$K$10:$R$96,((VLOOKUP($E$10,Areas!$B$4:$D$200,3,FALSE))+1),FALSE)</f>
        <v>131.51</v>
      </c>
      <c r="S28" s="88">
        <f t="shared" si="5"/>
        <v>68.09</v>
      </c>
      <c r="T28" s="94" t="str">
        <f t="shared" si="6"/>
        <v/>
      </c>
      <c r="U28" s="88">
        <f t="shared" si="7"/>
        <v>68.09</v>
      </c>
      <c r="V28" s="111" t="str">
        <f t="shared" si="8"/>
        <v>UPS</v>
      </c>
      <c r="W28" s="7"/>
      <c r="X28" s="7"/>
    </row>
    <row r="29" ht="14.25" customHeight="1">
      <c r="A29" s="7"/>
      <c r="B29" s="69"/>
      <c r="C29" s="155">
        <v>8.5</v>
      </c>
      <c r="D29" s="156">
        <f t="shared" si="9"/>
        <v>53.53</v>
      </c>
      <c r="E29" s="156">
        <f t="shared" si="10"/>
        <v>56.98</v>
      </c>
      <c r="F29" s="71"/>
      <c r="G29" s="7"/>
      <c r="H29" s="96">
        <v>12.0</v>
      </c>
      <c r="I29" s="120">
        <f>VLOOKUP($H29,UPS!$B$10:$H$106,((VLOOKUP($E$10,Areas!$B$4:$D$200,2,FALSE))+1),FALSE)</f>
        <v>65.03</v>
      </c>
      <c r="J29" s="120">
        <f>VLOOKUP($H29,FedEx!$B$10:$I$96,((VLOOKUP($E$10,Areas!$B$4:$D$200,3,FALSE))+1),FALSE)</f>
        <v>145.49</v>
      </c>
      <c r="K29" s="120">
        <f t="shared" si="1"/>
        <v>65.03</v>
      </c>
      <c r="L29" s="121" t="str">
        <f t="shared" si="2"/>
        <v/>
      </c>
      <c r="M29" s="120">
        <f t="shared" si="3"/>
        <v>65.03</v>
      </c>
      <c r="N29" s="111" t="str">
        <f t="shared" si="4"/>
        <v>UPS</v>
      </c>
      <c r="O29" s="7"/>
      <c r="P29" s="96">
        <v>12.0</v>
      </c>
      <c r="Q29" s="120">
        <f>VLOOKUP($P29, UPS!$J$10:$P$106,((VLOOKUP($E$10,Areas!$B$4:$D$200,2,FALSE))+1),FALSE)</f>
        <v>69.17</v>
      </c>
      <c r="R29" s="120">
        <f>VLOOKUP($P29, FedEx!$K$10:$R$96,((VLOOKUP($E$10,Areas!$B$4:$D$200,3,FALSE))+1),FALSE)</f>
        <v>134.11</v>
      </c>
      <c r="S29" s="120">
        <f t="shared" si="5"/>
        <v>69.17</v>
      </c>
      <c r="T29" s="121" t="str">
        <f t="shared" si="6"/>
        <v/>
      </c>
      <c r="U29" s="120">
        <f t="shared" si="7"/>
        <v>69.17</v>
      </c>
      <c r="V29" s="111" t="str">
        <f t="shared" si="8"/>
        <v>UPS</v>
      </c>
      <c r="W29" s="7"/>
      <c r="X29" s="7"/>
    </row>
    <row r="30" ht="14.25" customHeight="1">
      <c r="A30" s="7"/>
      <c r="B30" s="69"/>
      <c r="C30" s="158">
        <v>9.0</v>
      </c>
      <c r="D30" s="159">
        <f t="shared" si="9"/>
        <v>55.38</v>
      </c>
      <c r="E30" s="159">
        <f t="shared" si="10"/>
        <v>58.93</v>
      </c>
      <c r="F30" s="71"/>
      <c r="G30" s="7"/>
      <c r="H30" s="72">
        <v>12.5</v>
      </c>
      <c r="I30" s="88">
        <f>VLOOKUP($H30,UPS!$B$10:$H$106,((VLOOKUP($E$10,Areas!$B$4:$D$200,2,FALSE))+1),FALSE)</f>
        <v>67.21</v>
      </c>
      <c r="J30" s="88">
        <f>VLOOKUP($H30,FedEx!$B$10:$I$96,((VLOOKUP($E$10,Areas!$B$4:$D$200,3,FALSE))+1),FALSE)</f>
        <v>148.3</v>
      </c>
      <c r="K30" s="88">
        <f t="shared" si="1"/>
        <v>67.21</v>
      </c>
      <c r="L30" s="94" t="str">
        <f t="shared" si="2"/>
        <v/>
      </c>
      <c r="M30" s="88">
        <f t="shared" si="3"/>
        <v>67.21</v>
      </c>
      <c r="N30" s="111" t="str">
        <f t="shared" si="4"/>
        <v>UPS</v>
      </c>
      <c r="O30" s="7"/>
      <c r="P30" s="72">
        <v>12.5</v>
      </c>
      <c r="Q30" s="88">
        <f>VLOOKUP($P30, UPS!$J$10:$P$106,((VLOOKUP($E$10,Areas!$B$4:$D$200,2,FALSE))+1),FALSE)</f>
        <v>71.5</v>
      </c>
      <c r="R30" s="88">
        <f>VLOOKUP($P30, FedEx!$K$10:$R$96,((VLOOKUP($E$10,Areas!$B$4:$D$200,3,FALSE))+1),FALSE)</f>
        <v>136.72</v>
      </c>
      <c r="S30" s="88">
        <f t="shared" si="5"/>
        <v>71.5</v>
      </c>
      <c r="T30" s="94" t="str">
        <f t="shared" si="6"/>
        <v/>
      </c>
      <c r="U30" s="88">
        <f t="shared" si="7"/>
        <v>71.5</v>
      </c>
      <c r="V30" s="111" t="str">
        <f t="shared" si="8"/>
        <v>UPS</v>
      </c>
      <c r="W30" s="7"/>
      <c r="X30" s="7"/>
    </row>
    <row r="31" ht="14.25" customHeight="1">
      <c r="A31" s="160"/>
      <c r="B31" s="161"/>
      <c r="C31" s="162">
        <v>9.5</v>
      </c>
      <c r="D31" s="156">
        <f t="shared" si="9"/>
        <v>57.12</v>
      </c>
      <c r="E31" s="156">
        <f t="shared" si="10"/>
        <v>60.78</v>
      </c>
      <c r="F31" s="71"/>
      <c r="G31" s="7"/>
      <c r="H31" s="96">
        <v>13.0</v>
      </c>
      <c r="I31" s="120">
        <f>VLOOKUP($H31,UPS!$B$10:$H$106,((VLOOKUP($E$10,Areas!$B$4:$D$200,2,FALSE))+1),FALSE)</f>
        <v>68.5</v>
      </c>
      <c r="J31" s="120">
        <f>VLOOKUP($H31,FedEx!$B$10:$I$96,((VLOOKUP($E$10,Areas!$B$4:$D$200,3,FALSE))+1),FALSE)</f>
        <v>151.12</v>
      </c>
      <c r="K31" s="120">
        <f t="shared" si="1"/>
        <v>68.5</v>
      </c>
      <c r="L31" s="121" t="str">
        <f t="shared" si="2"/>
        <v/>
      </c>
      <c r="M31" s="120">
        <f t="shared" si="3"/>
        <v>68.5</v>
      </c>
      <c r="N31" s="111" t="str">
        <f t="shared" si="4"/>
        <v>UPS</v>
      </c>
      <c r="O31" s="7"/>
      <c r="P31" s="96">
        <v>13.0</v>
      </c>
      <c r="Q31" s="120">
        <f>VLOOKUP($P31, UPS!$J$10:$P$106,((VLOOKUP($E$10,Areas!$B$4:$D$200,2,FALSE))+1),FALSE)</f>
        <v>72.89</v>
      </c>
      <c r="R31" s="120">
        <f>VLOOKUP($P31, FedEx!$K$10:$R$96,((VLOOKUP($E$10,Areas!$B$4:$D$200,3,FALSE))+1),FALSE)</f>
        <v>139.32</v>
      </c>
      <c r="S31" s="120">
        <f t="shared" si="5"/>
        <v>72.89</v>
      </c>
      <c r="T31" s="121" t="str">
        <f t="shared" si="6"/>
        <v/>
      </c>
      <c r="U31" s="120">
        <f t="shared" si="7"/>
        <v>72.89</v>
      </c>
      <c r="V31" s="111" t="str">
        <f t="shared" si="8"/>
        <v>UPS</v>
      </c>
      <c r="W31" s="7"/>
      <c r="X31" s="7"/>
    </row>
    <row r="32" ht="14.25" customHeight="1">
      <c r="A32" s="160"/>
      <c r="B32" s="161"/>
      <c r="C32" s="158">
        <v>10.0</v>
      </c>
      <c r="D32" s="159">
        <f t="shared" si="9"/>
        <v>58.86</v>
      </c>
      <c r="E32" s="159">
        <f t="shared" si="10"/>
        <v>62.61</v>
      </c>
      <c r="F32" s="164"/>
      <c r="G32" s="7"/>
      <c r="H32" s="72">
        <v>13.5</v>
      </c>
      <c r="I32" s="88">
        <f>VLOOKUP($H32,UPS!$B$10:$H$106,((VLOOKUP($E$10,Areas!$B$4:$D$200,2,FALSE))+1),FALSE)</f>
        <v>70.47</v>
      </c>
      <c r="J32" s="88">
        <f>VLOOKUP($H32,FedEx!$B$10:$I$96,((VLOOKUP($E$10,Areas!$B$4:$D$200,3,FALSE))+1),FALSE)</f>
        <v>153.93</v>
      </c>
      <c r="K32" s="88">
        <f t="shared" si="1"/>
        <v>70.47</v>
      </c>
      <c r="L32" s="94" t="str">
        <f t="shared" si="2"/>
        <v/>
      </c>
      <c r="M32" s="88">
        <f t="shared" si="3"/>
        <v>70.47</v>
      </c>
      <c r="N32" s="111" t="str">
        <f t="shared" si="4"/>
        <v>UPS</v>
      </c>
      <c r="O32" s="7"/>
      <c r="P32" s="72">
        <v>13.5</v>
      </c>
      <c r="Q32" s="88">
        <f>VLOOKUP($P32, UPS!$J$10:$P$106,((VLOOKUP($E$10,Areas!$B$4:$D$200,2,FALSE))+1),FALSE)</f>
        <v>75.01</v>
      </c>
      <c r="R32" s="88">
        <f>VLOOKUP($P32, FedEx!$K$10:$R$96,((VLOOKUP($E$10,Areas!$B$4:$D$200,3,FALSE))+1),FALSE)</f>
        <v>141.92</v>
      </c>
      <c r="S32" s="88">
        <f t="shared" si="5"/>
        <v>75.01</v>
      </c>
      <c r="T32" s="94" t="str">
        <f t="shared" si="6"/>
        <v/>
      </c>
      <c r="U32" s="88">
        <f t="shared" si="7"/>
        <v>75.01</v>
      </c>
      <c r="V32" s="111" t="str">
        <f t="shared" si="8"/>
        <v>UPS</v>
      </c>
      <c r="W32" s="7"/>
      <c r="X32" s="7"/>
    </row>
    <row r="33" ht="14.25" customHeight="1">
      <c r="A33" s="160"/>
      <c r="B33" s="165"/>
      <c r="C33" s="72">
        <v>10.5</v>
      </c>
      <c r="D33" s="156">
        <f t="shared" si="9"/>
        <v>60.8</v>
      </c>
      <c r="E33" s="156">
        <f t="shared" si="10"/>
        <v>64.68</v>
      </c>
      <c r="F33" s="166"/>
      <c r="G33" s="167"/>
      <c r="H33" s="96">
        <v>14.0</v>
      </c>
      <c r="I33" s="120">
        <f>VLOOKUP($H33,UPS!$B$10:$H$106,((VLOOKUP($E$10,Areas!$B$4:$D$200,2,FALSE))+1),FALSE)</f>
        <v>71.42</v>
      </c>
      <c r="J33" s="120">
        <f>VLOOKUP($H33,FedEx!$B$10:$I$96,((VLOOKUP($E$10,Areas!$B$4:$D$200,3,FALSE))+1),FALSE)</f>
        <v>156.74</v>
      </c>
      <c r="K33" s="120">
        <f t="shared" si="1"/>
        <v>71.42</v>
      </c>
      <c r="L33" s="121" t="str">
        <f t="shared" si="2"/>
        <v/>
      </c>
      <c r="M33" s="120">
        <f t="shared" si="3"/>
        <v>71.42</v>
      </c>
      <c r="N33" s="111" t="str">
        <f t="shared" si="4"/>
        <v>UPS</v>
      </c>
      <c r="O33" s="7"/>
      <c r="P33" s="96">
        <v>14.0</v>
      </c>
      <c r="Q33" s="120">
        <f>VLOOKUP($P33, UPS!$J$10:$P$106,((VLOOKUP($E$10,Areas!$B$4:$D$200,2,FALSE))+1),FALSE)</f>
        <v>76.01</v>
      </c>
      <c r="R33" s="120">
        <f>VLOOKUP($P33, FedEx!$K$10:$R$96,((VLOOKUP($E$10,Areas!$B$4:$D$200,3,FALSE))+1),FALSE)</f>
        <v>144.53</v>
      </c>
      <c r="S33" s="120">
        <f t="shared" si="5"/>
        <v>76.01</v>
      </c>
      <c r="T33" s="121" t="str">
        <f t="shared" si="6"/>
        <v/>
      </c>
      <c r="U33" s="120">
        <f t="shared" si="7"/>
        <v>76.01</v>
      </c>
      <c r="V33" s="111" t="str">
        <f t="shared" si="8"/>
        <v>UPS</v>
      </c>
      <c r="W33" s="7"/>
      <c r="X33" s="7"/>
    </row>
    <row r="34" ht="14.25" customHeight="1">
      <c r="A34" s="160"/>
      <c r="B34" s="166"/>
      <c r="C34" s="96">
        <v>11.0</v>
      </c>
      <c r="D34" s="159">
        <f t="shared" si="9"/>
        <v>61.84</v>
      </c>
      <c r="E34" s="159">
        <f t="shared" si="10"/>
        <v>65.79</v>
      </c>
      <c r="F34" s="166"/>
      <c r="G34" s="167"/>
      <c r="H34" s="72">
        <v>14.5</v>
      </c>
      <c r="I34" s="88">
        <f>VLOOKUP($H34,UPS!$B$10:$H$106,((VLOOKUP($E$10,Areas!$B$4:$D$200,2,FALSE))+1),FALSE)</f>
        <v>73.61</v>
      </c>
      <c r="J34" s="88">
        <f>VLOOKUP($H34,FedEx!$B$10:$I$96,((VLOOKUP($E$10,Areas!$B$4:$D$200,3,FALSE))+1),FALSE)</f>
        <v>158.76</v>
      </c>
      <c r="K34" s="88">
        <f t="shared" si="1"/>
        <v>73.61</v>
      </c>
      <c r="L34" s="94" t="str">
        <f t="shared" si="2"/>
        <v/>
      </c>
      <c r="M34" s="88">
        <f t="shared" si="3"/>
        <v>73.61</v>
      </c>
      <c r="N34" s="111" t="str">
        <f t="shared" si="4"/>
        <v>UPS</v>
      </c>
      <c r="O34" s="7"/>
      <c r="P34" s="72">
        <v>14.5</v>
      </c>
      <c r="Q34" s="88">
        <f>VLOOKUP($P34, UPS!$J$10:$P$106,((VLOOKUP($E$10,Areas!$B$4:$D$200,2,FALSE))+1),FALSE)</f>
        <v>78.3</v>
      </c>
      <c r="R34" s="88">
        <f>VLOOKUP($P34, FedEx!$K$10:$R$96,((VLOOKUP($E$10,Areas!$B$4:$D$200,3,FALSE))+1),FALSE)</f>
        <v>146.16</v>
      </c>
      <c r="S34" s="88">
        <f t="shared" si="5"/>
        <v>78.3</v>
      </c>
      <c r="T34" s="94" t="str">
        <f t="shared" si="6"/>
        <v/>
      </c>
      <c r="U34" s="88">
        <f t="shared" si="7"/>
        <v>78.3</v>
      </c>
      <c r="V34" s="111" t="str">
        <f t="shared" si="8"/>
        <v>UPS</v>
      </c>
      <c r="W34" s="7"/>
      <c r="X34" s="7"/>
    </row>
    <row r="35" ht="14.25" customHeight="1">
      <c r="A35" s="160"/>
      <c r="B35" s="166"/>
      <c r="C35" s="72">
        <v>11.5</v>
      </c>
      <c r="D35" s="156">
        <f t="shared" si="9"/>
        <v>64.04</v>
      </c>
      <c r="E35" s="156">
        <f t="shared" si="10"/>
        <v>68.09</v>
      </c>
      <c r="F35" s="166"/>
      <c r="G35" s="167"/>
      <c r="H35" s="96">
        <v>15.0</v>
      </c>
      <c r="I35" s="120">
        <f>VLOOKUP($H35,UPS!$B$10:$H$106,((VLOOKUP($E$10,Areas!$B$4:$D$200,2,FALSE))+1),FALSE)</f>
        <v>74.76</v>
      </c>
      <c r="J35" s="120">
        <f>VLOOKUP($H35,FedEx!$B$10:$I$96,((VLOOKUP($E$10,Areas!$B$4:$D$200,3,FALSE))+1),FALSE)</f>
        <v>158.76</v>
      </c>
      <c r="K35" s="120">
        <f t="shared" si="1"/>
        <v>74.76</v>
      </c>
      <c r="L35" s="121" t="str">
        <f t="shared" si="2"/>
        <v/>
      </c>
      <c r="M35" s="120">
        <f t="shared" si="3"/>
        <v>74.76</v>
      </c>
      <c r="N35" s="111" t="str">
        <f t="shared" si="4"/>
        <v>UPS</v>
      </c>
      <c r="O35" s="7"/>
      <c r="P35" s="96">
        <v>15.0</v>
      </c>
      <c r="Q35" s="120">
        <f>VLOOKUP($P35, UPS!$J$10:$P$106,((VLOOKUP($E$10,Areas!$B$4:$D$200,2,FALSE))+1),FALSE)</f>
        <v>79.51</v>
      </c>
      <c r="R35" s="120">
        <f>VLOOKUP($P35, FedEx!$K$10:$R$96,((VLOOKUP($E$10,Areas!$B$4:$D$200,3,FALSE))+1),FALSE)</f>
        <v>146.16</v>
      </c>
      <c r="S35" s="120">
        <f t="shared" si="5"/>
        <v>79.51</v>
      </c>
      <c r="T35" s="121" t="str">
        <f t="shared" si="6"/>
        <v/>
      </c>
      <c r="U35" s="120">
        <f t="shared" si="7"/>
        <v>79.51</v>
      </c>
      <c r="V35" s="111" t="str">
        <f t="shared" si="8"/>
        <v>UPS</v>
      </c>
      <c r="W35" s="7"/>
      <c r="X35" s="7"/>
    </row>
    <row r="36" ht="14.25" customHeight="1">
      <c r="A36" s="160"/>
      <c r="B36" s="166"/>
      <c r="C36" s="96">
        <v>12.0</v>
      </c>
      <c r="D36" s="159">
        <f t="shared" si="9"/>
        <v>65.03</v>
      </c>
      <c r="E36" s="159">
        <f t="shared" si="10"/>
        <v>69.17</v>
      </c>
      <c r="F36" s="166"/>
      <c r="G36" s="167"/>
      <c r="H36" s="72">
        <v>15.5</v>
      </c>
      <c r="I36" s="88">
        <f>VLOOKUP($H36,UPS!$B$10:$H$106,((VLOOKUP($E$10,Areas!$B$4:$D$200,2,FALSE))+1),FALSE)</f>
        <v>77</v>
      </c>
      <c r="J36" s="88">
        <f>VLOOKUP($H36,FedEx!$B$10:$I$96,((VLOOKUP($E$10,Areas!$B$4:$D$200,3,FALSE))+1),FALSE)</f>
        <v>158.76</v>
      </c>
      <c r="K36" s="88">
        <f t="shared" si="1"/>
        <v>77</v>
      </c>
      <c r="L36" s="94" t="str">
        <f t="shared" si="2"/>
        <v/>
      </c>
      <c r="M36" s="88">
        <f t="shared" si="3"/>
        <v>77</v>
      </c>
      <c r="N36" s="111" t="str">
        <f t="shared" si="4"/>
        <v>UPS</v>
      </c>
      <c r="O36" s="7"/>
      <c r="P36" s="72">
        <v>15.5</v>
      </c>
      <c r="Q36" s="88">
        <f>VLOOKUP($P36, UPS!$J$10:$P$106,((VLOOKUP($E$10,Areas!$B$4:$D$200,2,FALSE))+1),FALSE)</f>
        <v>81.91</v>
      </c>
      <c r="R36" s="88">
        <f>VLOOKUP($P36, FedEx!$K$10:$R$96,((VLOOKUP($E$10,Areas!$B$4:$D$200,3,FALSE))+1),FALSE)</f>
        <v>146.16</v>
      </c>
      <c r="S36" s="88">
        <f t="shared" si="5"/>
        <v>81.91</v>
      </c>
      <c r="T36" s="94" t="str">
        <f t="shared" si="6"/>
        <v/>
      </c>
      <c r="U36" s="88">
        <f t="shared" si="7"/>
        <v>81.91</v>
      </c>
      <c r="V36" s="111" t="str">
        <f t="shared" si="8"/>
        <v>UPS</v>
      </c>
      <c r="W36" s="7"/>
      <c r="X36" s="7"/>
    </row>
    <row r="37" ht="14.25" customHeight="1">
      <c r="A37" s="160"/>
      <c r="B37" s="166"/>
      <c r="C37" s="72">
        <v>12.5</v>
      </c>
      <c r="D37" s="156">
        <f t="shared" si="9"/>
        <v>67.21</v>
      </c>
      <c r="E37" s="156">
        <f t="shared" si="10"/>
        <v>71.5</v>
      </c>
      <c r="F37" s="166"/>
      <c r="G37" s="167"/>
      <c r="H37" s="96">
        <v>16.0</v>
      </c>
      <c r="I37" s="120">
        <f>VLOOKUP($H37,UPS!$B$10:$H$106,((VLOOKUP($E$10,Areas!$B$4:$D$200,2,FALSE))+1),FALSE)</f>
        <v>78.87</v>
      </c>
      <c r="J37" s="120">
        <f>VLOOKUP($H37,FedEx!$B$10:$I$96,((VLOOKUP($E$10,Areas!$B$4:$D$200,3,FALSE))+1),FALSE)</f>
        <v>158.76</v>
      </c>
      <c r="K37" s="120">
        <f t="shared" si="1"/>
        <v>78.87</v>
      </c>
      <c r="L37" s="121" t="str">
        <f t="shared" si="2"/>
        <v/>
      </c>
      <c r="M37" s="120">
        <f t="shared" si="3"/>
        <v>78.87</v>
      </c>
      <c r="N37" s="111" t="str">
        <f t="shared" si="4"/>
        <v>UPS</v>
      </c>
      <c r="O37" s="7"/>
      <c r="P37" s="96">
        <v>16.0</v>
      </c>
      <c r="Q37" s="120">
        <f>VLOOKUP($P37, UPS!$J$10:$P$106,((VLOOKUP($E$10,Areas!$B$4:$D$200,2,FALSE))+1),FALSE)</f>
        <v>83.92</v>
      </c>
      <c r="R37" s="120">
        <f>VLOOKUP($P37, FedEx!$K$10:$R$96,((VLOOKUP($E$10,Areas!$B$4:$D$200,3,FALSE))+1),FALSE)</f>
        <v>146.16</v>
      </c>
      <c r="S37" s="120">
        <f t="shared" si="5"/>
        <v>83.92</v>
      </c>
      <c r="T37" s="121" t="str">
        <f t="shared" si="6"/>
        <v/>
      </c>
      <c r="U37" s="120">
        <f t="shared" si="7"/>
        <v>83.92</v>
      </c>
      <c r="V37" s="111" t="str">
        <f t="shared" si="8"/>
        <v>UPS</v>
      </c>
      <c r="W37" s="7"/>
      <c r="X37" s="7"/>
    </row>
    <row r="38" ht="14.25" customHeight="1">
      <c r="A38" s="160"/>
      <c r="B38" s="166"/>
      <c r="C38" s="96">
        <v>13.0</v>
      </c>
      <c r="D38" s="159">
        <f t="shared" si="9"/>
        <v>68.5</v>
      </c>
      <c r="E38" s="159">
        <f t="shared" si="10"/>
        <v>72.89</v>
      </c>
      <c r="F38" s="166"/>
      <c r="G38" s="167"/>
      <c r="H38" s="72">
        <v>16.5</v>
      </c>
      <c r="I38" s="88">
        <f>VLOOKUP($H38,UPS!$B$10:$H$106,((VLOOKUP($E$10,Areas!$B$4:$D$200,2,FALSE))+1),FALSE)</f>
        <v>81.28</v>
      </c>
      <c r="J38" s="88">
        <f>VLOOKUP($H38,FedEx!$B$10:$I$96,((VLOOKUP($E$10,Areas!$B$4:$D$200,3,FALSE))+1),FALSE)</f>
        <v>158.76</v>
      </c>
      <c r="K38" s="88">
        <f t="shared" si="1"/>
        <v>81.28</v>
      </c>
      <c r="L38" s="94" t="str">
        <f t="shared" si="2"/>
        <v/>
      </c>
      <c r="M38" s="88">
        <f t="shared" si="3"/>
        <v>81.28</v>
      </c>
      <c r="N38" s="111" t="str">
        <f t="shared" si="4"/>
        <v>UPS</v>
      </c>
      <c r="O38" s="7"/>
      <c r="P38" s="72">
        <v>16.5</v>
      </c>
      <c r="Q38" s="88">
        <f>VLOOKUP($P38, UPS!$J$10:$P$106,((VLOOKUP($E$10,Areas!$B$4:$D$200,2,FALSE))+1),FALSE)</f>
        <v>86.46</v>
      </c>
      <c r="R38" s="88">
        <f>VLOOKUP($P38, FedEx!$K$10:$R$96,((VLOOKUP($E$10,Areas!$B$4:$D$200,3,FALSE))+1),FALSE)</f>
        <v>146.16</v>
      </c>
      <c r="S38" s="88">
        <f t="shared" si="5"/>
        <v>86.46</v>
      </c>
      <c r="T38" s="94" t="str">
        <f t="shared" si="6"/>
        <v/>
      </c>
      <c r="U38" s="88">
        <f t="shared" si="7"/>
        <v>86.46</v>
      </c>
      <c r="V38" s="111" t="str">
        <f t="shared" si="8"/>
        <v>UPS</v>
      </c>
      <c r="W38" s="7"/>
      <c r="X38" s="7"/>
    </row>
    <row r="39" ht="14.25" customHeight="1">
      <c r="A39" s="160"/>
      <c r="B39" s="166"/>
      <c r="C39" s="72">
        <v>13.5</v>
      </c>
      <c r="D39" s="156">
        <f t="shared" si="9"/>
        <v>70.47</v>
      </c>
      <c r="E39" s="156">
        <f t="shared" si="10"/>
        <v>75.01</v>
      </c>
      <c r="F39" s="166"/>
      <c r="G39" s="167"/>
      <c r="H39" s="96">
        <v>17.0</v>
      </c>
      <c r="I39" s="120">
        <f>VLOOKUP($H39,UPS!$B$10:$H$106,((VLOOKUP($E$10,Areas!$B$4:$D$200,2,FALSE))+1),FALSE)</f>
        <v>82.94</v>
      </c>
      <c r="J39" s="120">
        <f>VLOOKUP($H39,FedEx!$B$10:$I$96,((VLOOKUP($E$10,Areas!$B$4:$D$200,3,FALSE))+1),FALSE)</f>
        <v>158.76</v>
      </c>
      <c r="K39" s="120">
        <f t="shared" si="1"/>
        <v>82.94</v>
      </c>
      <c r="L39" s="121" t="str">
        <f t="shared" si="2"/>
        <v/>
      </c>
      <c r="M39" s="120">
        <f t="shared" si="3"/>
        <v>82.94</v>
      </c>
      <c r="N39" s="111" t="str">
        <f t="shared" si="4"/>
        <v>UPS</v>
      </c>
      <c r="O39" s="7"/>
      <c r="P39" s="96">
        <v>17.0</v>
      </c>
      <c r="Q39" s="120">
        <f>VLOOKUP($P39, UPS!$J$10:$P$106,((VLOOKUP($E$10,Areas!$B$4:$D$200,2,FALSE))+1),FALSE)</f>
        <v>88.21</v>
      </c>
      <c r="R39" s="120">
        <f>VLOOKUP($P39, FedEx!$K$10:$R$96,((VLOOKUP($E$10,Areas!$B$4:$D$200,3,FALSE))+1),FALSE)</f>
        <v>146.16</v>
      </c>
      <c r="S39" s="120">
        <f t="shared" si="5"/>
        <v>88.21</v>
      </c>
      <c r="T39" s="121" t="str">
        <f t="shared" si="6"/>
        <v/>
      </c>
      <c r="U39" s="120">
        <f t="shared" si="7"/>
        <v>88.21</v>
      </c>
      <c r="V39" s="111" t="str">
        <f t="shared" si="8"/>
        <v>UPS</v>
      </c>
      <c r="W39" s="7"/>
      <c r="X39" s="7"/>
    </row>
    <row r="40" ht="14.25" customHeight="1">
      <c r="A40" s="160"/>
      <c r="B40" s="166"/>
      <c r="C40" s="96">
        <v>14.0</v>
      </c>
      <c r="D40" s="159">
        <f t="shared" si="9"/>
        <v>71.42</v>
      </c>
      <c r="E40" s="159">
        <f t="shared" si="10"/>
        <v>76.01</v>
      </c>
      <c r="F40" s="166"/>
      <c r="G40" s="167"/>
      <c r="H40" s="72">
        <v>17.5</v>
      </c>
      <c r="I40" s="88">
        <f>VLOOKUP($H40,UPS!$B$10:$H$106,((VLOOKUP($E$10,Areas!$B$4:$D$200,2,FALSE))+1),FALSE)</f>
        <v>85.24</v>
      </c>
      <c r="J40" s="88">
        <f>VLOOKUP($H40,FedEx!$B$10:$I$96,((VLOOKUP($E$10,Areas!$B$4:$D$200,3,FALSE))+1),FALSE)</f>
        <v>158.76</v>
      </c>
      <c r="K40" s="88">
        <f t="shared" si="1"/>
        <v>85.24</v>
      </c>
      <c r="L40" s="94" t="str">
        <f t="shared" si="2"/>
        <v/>
      </c>
      <c r="M40" s="88">
        <f t="shared" si="3"/>
        <v>85.24</v>
      </c>
      <c r="N40" s="111" t="str">
        <f t="shared" si="4"/>
        <v>UPS</v>
      </c>
      <c r="O40" s="7"/>
      <c r="P40" s="72">
        <v>17.5</v>
      </c>
      <c r="Q40" s="88">
        <f>VLOOKUP($P40, UPS!$J$10:$P$106,((VLOOKUP($E$10,Areas!$B$4:$D$200,2,FALSE))+1),FALSE)</f>
        <v>90.7</v>
      </c>
      <c r="R40" s="88">
        <f>VLOOKUP($P40, FedEx!$K$10:$R$96,((VLOOKUP($E$10,Areas!$B$4:$D$200,3,FALSE))+1),FALSE)</f>
        <v>146.16</v>
      </c>
      <c r="S40" s="88">
        <f t="shared" si="5"/>
        <v>90.7</v>
      </c>
      <c r="T40" s="94" t="str">
        <f t="shared" si="6"/>
        <v/>
      </c>
      <c r="U40" s="88">
        <f t="shared" si="7"/>
        <v>90.7</v>
      </c>
      <c r="V40" s="111" t="str">
        <f t="shared" si="8"/>
        <v>UPS</v>
      </c>
      <c r="W40" s="7"/>
      <c r="X40" s="7"/>
    </row>
    <row r="41" ht="14.25" customHeight="1">
      <c r="A41" s="160"/>
      <c r="B41" s="166"/>
      <c r="C41" s="72">
        <v>14.5</v>
      </c>
      <c r="D41" s="156">
        <f t="shared" si="9"/>
        <v>73.61</v>
      </c>
      <c r="E41" s="156">
        <f t="shared" si="10"/>
        <v>78.3</v>
      </c>
      <c r="F41" s="166"/>
      <c r="G41" s="167"/>
      <c r="H41" s="96">
        <v>18.0</v>
      </c>
      <c r="I41" s="120">
        <f>VLOOKUP($H41,UPS!$B$10:$H$106,((VLOOKUP($E$10,Areas!$B$4:$D$200,2,FALSE))+1),FALSE)</f>
        <v>86.94</v>
      </c>
      <c r="J41" s="120">
        <f>VLOOKUP($H41,FedEx!$B$10:$I$96,((VLOOKUP($E$10,Areas!$B$4:$D$200,3,FALSE))+1),FALSE)</f>
        <v>158.76</v>
      </c>
      <c r="K41" s="120">
        <f t="shared" si="1"/>
        <v>86.94</v>
      </c>
      <c r="L41" s="121" t="str">
        <f t="shared" si="2"/>
        <v/>
      </c>
      <c r="M41" s="120">
        <f t="shared" si="3"/>
        <v>86.94</v>
      </c>
      <c r="N41" s="111" t="str">
        <f t="shared" si="4"/>
        <v>UPS</v>
      </c>
      <c r="O41" s="7"/>
      <c r="P41" s="96">
        <v>18.0</v>
      </c>
      <c r="Q41" s="120">
        <f>VLOOKUP($P41, UPS!$J$10:$P$106,((VLOOKUP($E$10,Areas!$B$4:$D$200,2,FALSE))+1),FALSE)</f>
        <v>92.47</v>
      </c>
      <c r="R41" s="120">
        <f>VLOOKUP($P41, FedEx!$K$10:$R$96,((VLOOKUP($E$10,Areas!$B$4:$D$200,3,FALSE))+1),FALSE)</f>
        <v>146.16</v>
      </c>
      <c r="S41" s="120">
        <f t="shared" si="5"/>
        <v>92.47</v>
      </c>
      <c r="T41" s="121" t="str">
        <f t="shared" si="6"/>
        <v/>
      </c>
      <c r="U41" s="120">
        <f t="shared" si="7"/>
        <v>92.47</v>
      </c>
      <c r="V41" s="111" t="str">
        <f t="shared" si="8"/>
        <v>UPS</v>
      </c>
      <c r="W41" s="7"/>
      <c r="X41" s="7"/>
    </row>
    <row r="42" ht="14.25" customHeight="1">
      <c r="A42" s="160"/>
      <c r="B42" s="166"/>
      <c r="C42" s="96">
        <v>15.0</v>
      </c>
      <c r="D42" s="159">
        <f t="shared" si="9"/>
        <v>74.76</v>
      </c>
      <c r="E42" s="159">
        <f t="shared" si="10"/>
        <v>79.51</v>
      </c>
      <c r="F42" s="166"/>
      <c r="G42" s="167"/>
      <c r="H42" s="72">
        <v>18.5</v>
      </c>
      <c r="I42" s="88">
        <f>VLOOKUP($H42,UPS!$B$10:$H$106,((VLOOKUP($E$10,Areas!$B$4:$D$200,2,FALSE))+1),FALSE)</f>
        <v>89.13</v>
      </c>
      <c r="J42" s="88">
        <f>VLOOKUP($H42,FedEx!$B$10:$I$96,((VLOOKUP($E$10,Areas!$B$4:$D$200,3,FALSE))+1),FALSE)</f>
        <v>158.76</v>
      </c>
      <c r="K42" s="88">
        <f t="shared" si="1"/>
        <v>89.13</v>
      </c>
      <c r="L42" s="94" t="str">
        <f t="shared" si="2"/>
        <v/>
      </c>
      <c r="M42" s="88">
        <f t="shared" si="3"/>
        <v>89.13</v>
      </c>
      <c r="N42" s="111" t="str">
        <f t="shared" si="4"/>
        <v>UPS</v>
      </c>
      <c r="O42" s="7"/>
      <c r="P42" s="72">
        <v>18.5</v>
      </c>
      <c r="Q42" s="88">
        <f>VLOOKUP($P42, UPS!$J$10:$P$106,((VLOOKUP($E$10,Areas!$B$4:$D$200,2,FALSE))+1),FALSE)</f>
        <v>94.81</v>
      </c>
      <c r="R42" s="88">
        <f>VLOOKUP($P42, FedEx!$K$10:$R$96,((VLOOKUP($E$10,Areas!$B$4:$D$200,3,FALSE))+1),FALSE)</f>
        <v>146.16</v>
      </c>
      <c r="S42" s="88">
        <f t="shared" si="5"/>
        <v>94.81</v>
      </c>
      <c r="T42" s="94" t="str">
        <f t="shared" si="6"/>
        <v/>
      </c>
      <c r="U42" s="88">
        <f t="shared" si="7"/>
        <v>94.81</v>
      </c>
      <c r="V42" s="111" t="str">
        <f t="shared" si="8"/>
        <v>UPS</v>
      </c>
      <c r="W42" s="7"/>
      <c r="X42" s="7"/>
    </row>
    <row r="43" ht="14.25" customHeight="1">
      <c r="A43" s="160"/>
      <c r="B43" s="166"/>
      <c r="C43" s="72">
        <v>15.5</v>
      </c>
      <c r="D43" s="156">
        <f t="shared" si="9"/>
        <v>77</v>
      </c>
      <c r="E43" s="156">
        <f t="shared" si="10"/>
        <v>81.91</v>
      </c>
      <c r="F43" s="166"/>
      <c r="G43" s="167"/>
      <c r="H43" s="96">
        <v>19.0</v>
      </c>
      <c r="I43" s="120">
        <f>VLOOKUP($H43,UPS!$B$10:$H$106,((VLOOKUP($E$10,Areas!$B$4:$D$200,2,FALSE))+1),FALSE)</f>
        <v>91.13</v>
      </c>
      <c r="J43" s="120">
        <f>VLOOKUP($H43,FedEx!$B$10:$I$96,((VLOOKUP($E$10,Areas!$B$4:$D$200,3,FALSE))+1),FALSE)</f>
        <v>158.76</v>
      </c>
      <c r="K43" s="120">
        <f t="shared" si="1"/>
        <v>91.13</v>
      </c>
      <c r="L43" s="121" t="str">
        <f t="shared" si="2"/>
        <v/>
      </c>
      <c r="M43" s="120">
        <f t="shared" si="3"/>
        <v>91.13</v>
      </c>
      <c r="N43" s="111" t="str">
        <f t="shared" si="4"/>
        <v>UPS</v>
      </c>
      <c r="O43" s="7"/>
      <c r="P43" s="96">
        <v>19.0</v>
      </c>
      <c r="Q43" s="120">
        <f>VLOOKUP($P43, UPS!$J$10:$P$106,((VLOOKUP($E$10,Areas!$B$4:$D$200,2,FALSE))+1),FALSE)</f>
        <v>96.95</v>
      </c>
      <c r="R43" s="120">
        <f>VLOOKUP($P43, FedEx!$K$10:$R$96,((VLOOKUP($E$10,Areas!$B$4:$D$200,3,FALSE))+1),FALSE)</f>
        <v>146.16</v>
      </c>
      <c r="S43" s="120">
        <f t="shared" si="5"/>
        <v>96.95</v>
      </c>
      <c r="T43" s="121" t="str">
        <f t="shared" si="6"/>
        <v/>
      </c>
      <c r="U43" s="120">
        <f t="shared" si="7"/>
        <v>96.95</v>
      </c>
      <c r="V43" s="111" t="str">
        <f t="shared" si="8"/>
        <v>UPS</v>
      </c>
      <c r="W43" s="7"/>
      <c r="X43" s="7"/>
    </row>
    <row r="44" ht="14.25" customHeight="1">
      <c r="A44" s="160"/>
      <c r="B44" s="166"/>
      <c r="C44" s="96">
        <v>16.0</v>
      </c>
      <c r="D44" s="159">
        <f t="shared" si="9"/>
        <v>78.87</v>
      </c>
      <c r="E44" s="159">
        <f t="shared" si="10"/>
        <v>83.92</v>
      </c>
      <c r="F44" s="166"/>
      <c r="G44" s="167"/>
      <c r="H44" s="153">
        <v>19.5</v>
      </c>
      <c r="I44" s="88">
        <f>VLOOKUP($H44,UPS!$B$10:$H$106,((VLOOKUP($E$10,Areas!$B$4:$D$200,2,FALSE))+1),FALSE)</f>
        <v>93.47</v>
      </c>
      <c r="J44" s="88">
        <f>VLOOKUP($H44,FedEx!$B$10:$I$96,((VLOOKUP($E$10,Areas!$B$4:$D$200,3,FALSE))+1),FALSE)</f>
        <v>158.76</v>
      </c>
      <c r="K44" s="88">
        <f t="shared" si="1"/>
        <v>93.47</v>
      </c>
      <c r="L44" s="94" t="str">
        <f t="shared" si="2"/>
        <v/>
      </c>
      <c r="M44" s="88">
        <f t="shared" si="3"/>
        <v>93.47</v>
      </c>
      <c r="N44" s="111" t="str">
        <f t="shared" si="4"/>
        <v>UPS</v>
      </c>
      <c r="O44" s="7"/>
      <c r="P44" s="153">
        <v>19.5</v>
      </c>
      <c r="Q44" s="88">
        <f>VLOOKUP($P44, UPS!$J$10:$P$106,((VLOOKUP($E$10,Areas!$B$4:$D$200,2,FALSE))+1),FALSE)</f>
        <v>99.42</v>
      </c>
      <c r="R44" s="88">
        <f>VLOOKUP($P44, FedEx!$K$10:$R$96,((VLOOKUP($E$10,Areas!$B$4:$D$200,3,FALSE))+1),FALSE)</f>
        <v>146.16</v>
      </c>
      <c r="S44" s="88">
        <f t="shared" si="5"/>
        <v>99.42</v>
      </c>
      <c r="T44" s="94" t="str">
        <f t="shared" si="6"/>
        <v/>
      </c>
      <c r="U44" s="88">
        <f t="shared" si="7"/>
        <v>99.42</v>
      </c>
      <c r="V44" s="111" t="str">
        <f t="shared" si="8"/>
        <v>UPS</v>
      </c>
      <c r="W44" s="7"/>
      <c r="X44" s="7"/>
    </row>
    <row r="45" ht="14.25" customHeight="1">
      <c r="A45" s="160"/>
      <c r="B45" s="166"/>
      <c r="C45" s="72">
        <v>16.5</v>
      </c>
      <c r="D45" s="156">
        <f t="shared" si="9"/>
        <v>81.28</v>
      </c>
      <c r="E45" s="156">
        <f t="shared" si="10"/>
        <v>86.46</v>
      </c>
      <c r="F45" s="166"/>
      <c r="G45" s="167"/>
      <c r="H45" s="96">
        <v>20.0</v>
      </c>
      <c r="I45" s="120">
        <f>VLOOKUP($H45,UPS!$B$10:$H$106,((VLOOKUP($E$10,Areas!$B$4:$D$200,2,FALSE))+1),FALSE)</f>
        <v>94.65</v>
      </c>
      <c r="J45" s="120">
        <f>VLOOKUP($H45,FedEx!$B$10:$I$96,((VLOOKUP($E$10,Areas!$B$4:$D$200,3,FALSE))+1),FALSE)</f>
        <v>158.76</v>
      </c>
      <c r="K45" s="120">
        <f t="shared" si="1"/>
        <v>94.65</v>
      </c>
      <c r="L45" s="121" t="str">
        <f t="shared" si="2"/>
        <v/>
      </c>
      <c r="M45" s="120">
        <f t="shared" si="3"/>
        <v>94.65</v>
      </c>
      <c r="N45" s="111" t="str">
        <f t="shared" si="4"/>
        <v>UPS</v>
      </c>
      <c r="O45" s="7"/>
      <c r="P45" s="96">
        <v>20.0</v>
      </c>
      <c r="Q45" s="120">
        <f>VLOOKUP($P45, UPS!$J$10:$P$106,((VLOOKUP($E$10,Areas!$B$4:$D$200,2,FALSE))+1),FALSE)</f>
        <v>100.71</v>
      </c>
      <c r="R45" s="120">
        <f>VLOOKUP($P45, FedEx!$K$10:$R$96,((VLOOKUP($E$10,Areas!$B$4:$D$200,3,FALSE))+1),FALSE)</f>
        <v>146.16</v>
      </c>
      <c r="S45" s="120">
        <f t="shared" si="5"/>
        <v>100.71</v>
      </c>
      <c r="T45" s="121" t="str">
        <f t="shared" si="6"/>
        <v/>
      </c>
      <c r="U45" s="120">
        <f t="shared" si="7"/>
        <v>100.71</v>
      </c>
      <c r="V45" s="111" t="str">
        <f t="shared" si="8"/>
        <v>UPS</v>
      </c>
      <c r="W45" s="7"/>
      <c r="X45" s="7"/>
    </row>
    <row r="46" ht="14.25" customHeight="1">
      <c r="A46" s="160"/>
      <c r="B46" s="166"/>
      <c r="C46" s="96">
        <v>17.0</v>
      </c>
      <c r="D46" s="159">
        <f t="shared" si="9"/>
        <v>82.94</v>
      </c>
      <c r="E46" s="159">
        <f t="shared" si="10"/>
        <v>88.21</v>
      </c>
      <c r="F46" s="166"/>
      <c r="G46" s="167"/>
      <c r="H46" s="72">
        <v>20.5</v>
      </c>
      <c r="I46" s="88">
        <f>VLOOKUP($H46,UPS!$B$10:$H$106,((VLOOKUP($E$10,Areas!$B$4:$D$200,2,FALSE))+1),FALSE)</f>
        <v>96.53</v>
      </c>
      <c r="J46" s="88">
        <f>VLOOKUP($H46,FedEx!$B$10:$I$96,((VLOOKUP($E$10,Areas!$B$4:$D$200,3,FALSE))+1),FALSE)</f>
        <v>170.1</v>
      </c>
      <c r="K46" s="88">
        <f t="shared" si="1"/>
        <v>96.53</v>
      </c>
      <c r="L46" s="94" t="str">
        <f t="shared" si="2"/>
        <v/>
      </c>
      <c r="M46" s="88">
        <f t="shared" si="3"/>
        <v>96.53</v>
      </c>
      <c r="N46" s="111" t="str">
        <f t="shared" si="4"/>
        <v>UPS</v>
      </c>
      <c r="O46" s="7"/>
      <c r="P46" s="72">
        <v>20.5</v>
      </c>
      <c r="Q46" s="88">
        <f>VLOOKUP($P46, UPS!$J$10:$P$106,((VLOOKUP($E$10,Areas!$B$4:$D$200,2,FALSE))+1),FALSE)</f>
        <v>102.66</v>
      </c>
      <c r="R46" s="88">
        <f>VLOOKUP($P46, FedEx!$K$10:$R$96,((VLOOKUP($E$10,Areas!$B$4:$D$200,3,FALSE))+1),FALSE)</f>
        <v>158.34</v>
      </c>
      <c r="S46" s="88">
        <f t="shared" si="5"/>
        <v>102.66</v>
      </c>
      <c r="T46" s="94" t="str">
        <f t="shared" si="6"/>
        <v/>
      </c>
      <c r="U46" s="88">
        <f t="shared" si="7"/>
        <v>102.66</v>
      </c>
      <c r="V46" s="111" t="str">
        <f t="shared" si="8"/>
        <v>UPS</v>
      </c>
      <c r="W46" s="7"/>
      <c r="X46" s="7"/>
    </row>
    <row r="47" ht="14.25" customHeight="1">
      <c r="A47" s="160"/>
      <c r="B47" s="166"/>
      <c r="C47" s="72">
        <v>17.5</v>
      </c>
      <c r="D47" s="156">
        <f t="shared" si="9"/>
        <v>85.24</v>
      </c>
      <c r="E47" s="156">
        <f t="shared" si="10"/>
        <v>90.7</v>
      </c>
      <c r="F47" s="166"/>
      <c r="G47" s="167"/>
      <c r="H47" s="96">
        <v>21.0</v>
      </c>
      <c r="I47" s="120">
        <f>VLOOKUP($H47,UPS!$B$10:$H$106,((VLOOKUP($E$10,Areas!$B$4:$D$200,2,FALSE))+1),FALSE)</f>
        <v>97.76</v>
      </c>
      <c r="J47" s="120">
        <f>VLOOKUP($H47,FedEx!$B$10:$I$96,((VLOOKUP($E$10,Areas!$B$4:$D$200,3,FALSE))+1),FALSE)</f>
        <v>170.1</v>
      </c>
      <c r="K47" s="120">
        <f t="shared" si="1"/>
        <v>97.76</v>
      </c>
      <c r="L47" s="121" t="str">
        <f t="shared" si="2"/>
        <v/>
      </c>
      <c r="M47" s="120">
        <f t="shared" si="3"/>
        <v>97.76</v>
      </c>
      <c r="N47" s="111" t="str">
        <f t="shared" si="4"/>
        <v>UPS</v>
      </c>
      <c r="O47" s="7"/>
      <c r="P47" s="96">
        <v>21.0</v>
      </c>
      <c r="Q47" s="120">
        <f>VLOOKUP($P47, UPS!$J$10:$P$106,((VLOOKUP($E$10,Areas!$B$4:$D$200,2,FALSE))+1),FALSE)</f>
        <v>103.97</v>
      </c>
      <c r="R47" s="120">
        <f>VLOOKUP($P47, FedEx!$K$10:$R$96,((VLOOKUP($E$10,Areas!$B$4:$D$200,3,FALSE))+1),FALSE)</f>
        <v>158.34</v>
      </c>
      <c r="S47" s="120">
        <f t="shared" si="5"/>
        <v>103.97</v>
      </c>
      <c r="T47" s="121" t="str">
        <f t="shared" si="6"/>
        <v/>
      </c>
      <c r="U47" s="120">
        <f t="shared" si="7"/>
        <v>103.97</v>
      </c>
      <c r="V47" s="111" t="str">
        <f t="shared" si="8"/>
        <v>UPS</v>
      </c>
      <c r="W47" s="7"/>
      <c r="X47" s="7"/>
    </row>
    <row r="48" ht="14.25" customHeight="1">
      <c r="A48" s="160"/>
      <c r="B48" s="166"/>
      <c r="C48" s="96">
        <v>18.0</v>
      </c>
      <c r="D48" s="159">
        <f t="shared" si="9"/>
        <v>86.94</v>
      </c>
      <c r="E48" s="159">
        <f t="shared" si="10"/>
        <v>92.47</v>
      </c>
      <c r="F48" s="166"/>
      <c r="G48" s="167"/>
      <c r="H48" s="72">
        <v>21.5</v>
      </c>
      <c r="I48" s="88">
        <f>VLOOKUP($H48,UPS!$B$10:$H$106,((VLOOKUP($E$10,Areas!$B$4:$D$200,2,FALSE))+1),FALSE)</f>
        <v>99.65</v>
      </c>
      <c r="J48" s="88">
        <f>VLOOKUP($H48,FedEx!$B$10:$I$96,((VLOOKUP($E$10,Areas!$B$4:$D$200,3,FALSE))+1),FALSE)</f>
        <v>178.2</v>
      </c>
      <c r="K48" s="88">
        <f t="shared" si="1"/>
        <v>99.65</v>
      </c>
      <c r="L48" s="94" t="str">
        <f t="shared" si="2"/>
        <v/>
      </c>
      <c r="M48" s="88">
        <f t="shared" si="3"/>
        <v>99.65</v>
      </c>
      <c r="N48" s="111" t="str">
        <f t="shared" si="4"/>
        <v>UPS</v>
      </c>
      <c r="O48" s="7"/>
      <c r="P48" s="72">
        <v>21.5</v>
      </c>
      <c r="Q48" s="88">
        <f>VLOOKUP($P48, UPS!$J$10:$P$106,((VLOOKUP($E$10,Areas!$B$4:$D$200,2,FALSE))+1),FALSE)</f>
        <v>105.99</v>
      </c>
      <c r="R48" s="88">
        <f>VLOOKUP($P48, FedEx!$K$10:$R$96,((VLOOKUP($E$10,Areas!$B$4:$D$200,3,FALSE))+1),FALSE)</f>
        <v>165.88</v>
      </c>
      <c r="S48" s="88">
        <f t="shared" si="5"/>
        <v>105.99</v>
      </c>
      <c r="T48" s="94" t="str">
        <f t="shared" si="6"/>
        <v/>
      </c>
      <c r="U48" s="88">
        <f t="shared" si="7"/>
        <v>105.99</v>
      </c>
      <c r="V48" s="111" t="str">
        <f t="shared" si="8"/>
        <v>UPS</v>
      </c>
      <c r="W48" s="7"/>
      <c r="X48" s="7"/>
    </row>
    <row r="49" ht="14.25" customHeight="1">
      <c r="A49" s="160"/>
      <c r="B49" s="166"/>
      <c r="C49" s="72">
        <v>18.5</v>
      </c>
      <c r="D49" s="156">
        <f t="shared" si="9"/>
        <v>89.13</v>
      </c>
      <c r="E49" s="156">
        <f t="shared" si="10"/>
        <v>94.81</v>
      </c>
      <c r="F49" s="166"/>
      <c r="G49" s="167"/>
      <c r="H49" s="96">
        <v>22.0</v>
      </c>
      <c r="I49" s="120">
        <f>VLOOKUP($H49,UPS!$B$10:$H$106,((VLOOKUP($E$10,Areas!$B$4:$D$200,2,FALSE))+1),FALSE)</f>
        <v>101.87</v>
      </c>
      <c r="J49" s="120">
        <f>VLOOKUP($H49,FedEx!$B$10:$I$96,((VLOOKUP($E$10,Areas!$B$4:$D$200,3,FALSE))+1),FALSE)</f>
        <v>178.2</v>
      </c>
      <c r="K49" s="120">
        <f t="shared" si="1"/>
        <v>101.87</v>
      </c>
      <c r="L49" s="121" t="str">
        <f t="shared" si="2"/>
        <v/>
      </c>
      <c r="M49" s="120">
        <f t="shared" si="3"/>
        <v>101.87</v>
      </c>
      <c r="N49" s="111" t="str">
        <f t="shared" si="4"/>
        <v>UPS</v>
      </c>
      <c r="O49" s="7"/>
      <c r="P49" s="96">
        <v>22.0</v>
      </c>
      <c r="Q49" s="120">
        <f>VLOOKUP($P49, UPS!$J$10:$P$106,((VLOOKUP($E$10,Areas!$B$4:$D$200,2,FALSE))+1),FALSE)</f>
        <v>108.38</v>
      </c>
      <c r="R49" s="120">
        <f>VLOOKUP($P49, FedEx!$K$10:$R$96,((VLOOKUP($E$10,Areas!$B$4:$D$200,3,FALSE))+1),FALSE)</f>
        <v>165.88</v>
      </c>
      <c r="S49" s="120">
        <f t="shared" si="5"/>
        <v>108.38</v>
      </c>
      <c r="T49" s="121" t="str">
        <f t="shared" si="6"/>
        <v/>
      </c>
      <c r="U49" s="120">
        <f t="shared" si="7"/>
        <v>108.38</v>
      </c>
      <c r="V49" s="111" t="str">
        <f t="shared" si="8"/>
        <v>UPS</v>
      </c>
      <c r="W49" s="7"/>
      <c r="X49" s="7"/>
    </row>
    <row r="50" ht="14.25" customHeight="1">
      <c r="A50" s="160"/>
      <c r="B50" s="166"/>
      <c r="C50" s="96">
        <v>19.0</v>
      </c>
      <c r="D50" s="159">
        <f t="shared" si="9"/>
        <v>91.13</v>
      </c>
      <c r="E50" s="159">
        <f t="shared" si="10"/>
        <v>96.95</v>
      </c>
      <c r="F50" s="166"/>
      <c r="G50" s="167"/>
      <c r="H50" s="72">
        <v>22.5</v>
      </c>
      <c r="I50" s="88">
        <f>VLOOKUP($H50,UPS!$B$10:$H$106,((VLOOKUP($E$10,Areas!$B$4:$D$200,2,FALSE))+1),FALSE)</f>
        <v>103.47</v>
      </c>
      <c r="J50" s="88">
        <f>VLOOKUP($H50,FedEx!$B$10:$I$96,((VLOOKUP($E$10,Areas!$B$4:$D$200,3,FALSE))+1),FALSE)</f>
        <v>186.3</v>
      </c>
      <c r="K50" s="88">
        <f t="shared" si="1"/>
        <v>103.47</v>
      </c>
      <c r="L50" s="94" t="str">
        <f t="shared" si="2"/>
        <v/>
      </c>
      <c r="M50" s="88">
        <f t="shared" si="3"/>
        <v>103.47</v>
      </c>
      <c r="N50" s="111" t="str">
        <f t="shared" si="4"/>
        <v>UPS</v>
      </c>
      <c r="O50" s="7"/>
      <c r="P50" s="72">
        <v>22.5</v>
      </c>
      <c r="Q50" s="88">
        <f>VLOOKUP($P50, UPS!$J$10:$P$106,((VLOOKUP($E$10,Areas!$B$4:$D$200,2,FALSE))+1),FALSE)</f>
        <v>110.06</v>
      </c>
      <c r="R50" s="88">
        <f>VLOOKUP($P50, FedEx!$K$10:$R$96,((VLOOKUP($E$10,Areas!$B$4:$D$200,3,FALSE))+1),FALSE)</f>
        <v>173.42</v>
      </c>
      <c r="S50" s="88">
        <f t="shared" si="5"/>
        <v>110.06</v>
      </c>
      <c r="T50" s="94" t="str">
        <f t="shared" si="6"/>
        <v/>
      </c>
      <c r="U50" s="88">
        <f t="shared" si="7"/>
        <v>110.06</v>
      </c>
      <c r="V50" s="111" t="str">
        <f t="shared" si="8"/>
        <v>UPS</v>
      </c>
      <c r="W50" s="7"/>
      <c r="X50" s="7"/>
    </row>
    <row r="51" ht="14.25" customHeight="1">
      <c r="A51" s="7"/>
      <c r="B51" s="169"/>
      <c r="C51" s="153">
        <v>19.5</v>
      </c>
      <c r="D51" s="156">
        <f t="shared" si="9"/>
        <v>93.47</v>
      </c>
      <c r="E51" s="156">
        <f t="shared" si="10"/>
        <v>99.42</v>
      </c>
      <c r="F51" s="170"/>
      <c r="G51" s="7"/>
      <c r="H51" s="96">
        <v>23.0</v>
      </c>
      <c r="I51" s="120">
        <f>VLOOKUP($H51,UPS!$B$10:$H$106,((VLOOKUP($E$10,Areas!$B$4:$D$200,2,FALSE))+1),FALSE)</f>
        <v>105.76</v>
      </c>
      <c r="J51" s="120">
        <f>VLOOKUP($H51,FedEx!$B$10:$I$96,((VLOOKUP($E$10,Areas!$B$4:$D$200,3,FALSE))+1),FALSE)</f>
        <v>186.3</v>
      </c>
      <c r="K51" s="120">
        <f t="shared" si="1"/>
        <v>105.76</v>
      </c>
      <c r="L51" s="121" t="str">
        <f t="shared" si="2"/>
        <v/>
      </c>
      <c r="M51" s="120">
        <f t="shared" si="3"/>
        <v>105.76</v>
      </c>
      <c r="N51" s="111" t="str">
        <f t="shared" si="4"/>
        <v>UPS</v>
      </c>
      <c r="O51" s="7"/>
      <c r="P51" s="96">
        <v>23.0</v>
      </c>
      <c r="Q51" s="120">
        <f>VLOOKUP($P51, UPS!$J$10:$P$106,((VLOOKUP($E$10,Areas!$B$4:$D$200,2,FALSE))+1),FALSE)</f>
        <v>112.52</v>
      </c>
      <c r="R51" s="120">
        <f>VLOOKUP($P51, FedEx!$K$10:$R$96,((VLOOKUP($E$10,Areas!$B$4:$D$200,3,FALSE))+1),FALSE)</f>
        <v>173.42</v>
      </c>
      <c r="S51" s="120">
        <f t="shared" si="5"/>
        <v>112.52</v>
      </c>
      <c r="T51" s="121" t="str">
        <f t="shared" si="6"/>
        <v/>
      </c>
      <c r="U51" s="120">
        <f t="shared" si="7"/>
        <v>112.52</v>
      </c>
      <c r="V51" s="111" t="str">
        <f t="shared" si="8"/>
        <v>UPS</v>
      </c>
      <c r="W51" s="7"/>
      <c r="X51" s="7"/>
    </row>
    <row r="52" ht="14.25" customHeight="1">
      <c r="A52" s="7"/>
      <c r="B52" s="69"/>
      <c r="C52" s="96">
        <v>20.0</v>
      </c>
      <c r="D52" s="159">
        <f t="shared" si="9"/>
        <v>94.65</v>
      </c>
      <c r="E52" s="159">
        <f t="shared" si="10"/>
        <v>100.71</v>
      </c>
      <c r="F52" s="171"/>
      <c r="G52" s="7"/>
      <c r="H52" s="72">
        <v>23.5</v>
      </c>
      <c r="I52" s="88">
        <f>VLOOKUP($H52,UPS!$B$10:$H$106,((VLOOKUP($E$10,Areas!$B$4:$D$200,2,FALSE))+1),FALSE)</f>
        <v>107.82</v>
      </c>
      <c r="J52" s="88">
        <f>VLOOKUP($H52,FedEx!$B$10:$I$96,((VLOOKUP($E$10,Areas!$B$4:$D$200,3,FALSE))+1),FALSE)</f>
        <v>194.4</v>
      </c>
      <c r="K52" s="88">
        <f t="shared" si="1"/>
        <v>107.82</v>
      </c>
      <c r="L52" s="94" t="str">
        <f t="shared" si="2"/>
        <v/>
      </c>
      <c r="M52" s="88">
        <f t="shared" si="3"/>
        <v>107.82</v>
      </c>
      <c r="N52" s="111" t="str">
        <f t="shared" si="4"/>
        <v>UPS</v>
      </c>
      <c r="O52" s="7"/>
      <c r="P52" s="72">
        <v>23.5</v>
      </c>
      <c r="Q52" s="88">
        <f>VLOOKUP($P52, UPS!$J$10:$P$106,((VLOOKUP($E$10,Areas!$B$4:$D$200,2,FALSE))+1),FALSE)</f>
        <v>114.71</v>
      </c>
      <c r="R52" s="88">
        <f>VLOOKUP($P52, FedEx!$K$10:$R$96,((VLOOKUP($E$10,Areas!$B$4:$D$200,3,FALSE))+1),FALSE)</f>
        <v>180.96</v>
      </c>
      <c r="S52" s="88">
        <f t="shared" si="5"/>
        <v>114.71</v>
      </c>
      <c r="T52" s="94" t="str">
        <f t="shared" si="6"/>
        <v/>
      </c>
      <c r="U52" s="88">
        <f t="shared" si="7"/>
        <v>114.71</v>
      </c>
      <c r="V52" s="111" t="str">
        <f t="shared" si="8"/>
        <v>UPS</v>
      </c>
      <c r="W52" s="7"/>
      <c r="X52" s="7"/>
    </row>
    <row r="53" ht="14.25" customHeight="1">
      <c r="A53" s="7"/>
      <c r="B53" s="69"/>
      <c r="C53" s="72">
        <v>20.5</v>
      </c>
      <c r="D53" s="156">
        <f t="shared" si="9"/>
        <v>96.53</v>
      </c>
      <c r="E53" s="156">
        <f t="shared" si="10"/>
        <v>102.66</v>
      </c>
      <c r="F53" s="171"/>
      <c r="G53" s="7"/>
      <c r="H53" s="96">
        <v>24.0</v>
      </c>
      <c r="I53" s="120">
        <f>VLOOKUP($H53,UPS!$B$10:$H$106,((VLOOKUP($E$10,Areas!$B$4:$D$200,2,FALSE))+1),FALSE)</f>
        <v>110.1</v>
      </c>
      <c r="J53" s="120">
        <f>VLOOKUP($H53,FedEx!$B$10:$I$96,((VLOOKUP($E$10,Areas!$B$4:$D$200,3,FALSE))+1),FALSE)</f>
        <v>194.4</v>
      </c>
      <c r="K53" s="120">
        <f t="shared" si="1"/>
        <v>110.1</v>
      </c>
      <c r="L53" s="121" t="str">
        <f t="shared" si="2"/>
        <v/>
      </c>
      <c r="M53" s="120">
        <f t="shared" si="3"/>
        <v>110.1</v>
      </c>
      <c r="N53" s="111" t="str">
        <f t="shared" si="4"/>
        <v>UPS</v>
      </c>
      <c r="O53" s="7"/>
      <c r="P53" s="96">
        <v>24.0</v>
      </c>
      <c r="Q53" s="120">
        <f>VLOOKUP($P53, UPS!$J$10:$P$106,((VLOOKUP($E$10,Areas!$B$4:$D$200,2,FALSE))+1),FALSE)</f>
        <v>117.13</v>
      </c>
      <c r="R53" s="120">
        <f>VLOOKUP($P53, FedEx!$K$10:$R$96,((VLOOKUP($E$10,Areas!$B$4:$D$200,3,FALSE))+1),FALSE)</f>
        <v>180.96</v>
      </c>
      <c r="S53" s="120">
        <f t="shared" si="5"/>
        <v>117.13</v>
      </c>
      <c r="T53" s="121" t="str">
        <f t="shared" si="6"/>
        <v/>
      </c>
      <c r="U53" s="120">
        <f t="shared" si="7"/>
        <v>117.13</v>
      </c>
      <c r="V53" s="111" t="str">
        <f t="shared" si="8"/>
        <v>UPS</v>
      </c>
      <c r="W53" s="7"/>
      <c r="X53" s="7"/>
    </row>
    <row r="54" ht="14.25" customHeight="1">
      <c r="A54" s="7"/>
      <c r="B54" s="69"/>
      <c r="C54" s="96">
        <v>21.0</v>
      </c>
      <c r="D54" s="159">
        <f t="shared" si="9"/>
        <v>97.76</v>
      </c>
      <c r="E54" s="159">
        <f t="shared" si="10"/>
        <v>103.97</v>
      </c>
      <c r="F54" s="171"/>
      <c r="G54" s="7"/>
      <c r="H54" s="72">
        <v>24.5</v>
      </c>
      <c r="I54" s="88">
        <f>VLOOKUP($H54,UPS!$B$10:$H$106,((VLOOKUP($E$10,Areas!$B$4:$D$200,2,FALSE))+1),FALSE)</f>
        <v>112.27</v>
      </c>
      <c r="J54" s="88">
        <f>VLOOKUP($H54,FedEx!$B$10:$I$96,((VLOOKUP($E$10,Areas!$B$4:$D$200,3,FALSE))+1),FALSE)</f>
        <v>202.5</v>
      </c>
      <c r="K54" s="88">
        <f t="shared" si="1"/>
        <v>112.27</v>
      </c>
      <c r="L54" s="94" t="str">
        <f t="shared" si="2"/>
        <v/>
      </c>
      <c r="M54" s="88">
        <f t="shared" si="3"/>
        <v>112.27</v>
      </c>
      <c r="N54" s="111" t="str">
        <f t="shared" si="4"/>
        <v>UPS</v>
      </c>
      <c r="O54" s="7"/>
      <c r="P54" s="72">
        <v>24.5</v>
      </c>
      <c r="Q54" s="88">
        <f>VLOOKUP($P54, UPS!$J$10:$P$106,((VLOOKUP($E$10,Areas!$B$4:$D$200,2,FALSE))+1),FALSE)</f>
        <v>119.46</v>
      </c>
      <c r="R54" s="88">
        <f>VLOOKUP($P54, FedEx!$K$10:$R$96,((VLOOKUP($E$10,Areas!$B$4:$D$200,3,FALSE))+1),FALSE)</f>
        <v>188.5</v>
      </c>
      <c r="S54" s="88">
        <f t="shared" si="5"/>
        <v>119.46</v>
      </c>
      <c r="T54" s="94" t="str">
        <f t="shared" si="6"/>
        <v/>
      </c>
      <c r="U54" s="88">
        <f t="shared" si="7"/>
        <v>119.46</v>
      </c>
      <c r="V54" s="111" t="str">
        <f t="shared" si="8"/>
        <v>UPS</v>
      </c>
      <c r="W54" s="7"/>
      <c r="X54" s="7"/>
    </row>
    <row r="55" ht="14.25" customHeight="1">
      <c r="A55" s="7"/>
      <c r="B55" s="69"/>
      <c r="C55" s="72">
        <v>21.5</v>
      </c>
      <c r="D55" s="156">
        <f t="shared" si="9"/>
        <v>99.65</v>
      </c>
      <c r="E55" s="156">
        <f t="shared" si="10"/>
        <v>105.99</v>
      </c>
      <c r="F55" s="171"/>
      <c r="G55" s="7"/>
      <c r="H55" s="96">
        <v>25.0</v>
      </c>
      <c r="I55" s="120">
        <f>VLOOKUP($H55,UPS!$B$10:$H$106,((VLOOKUP($E$10,Areas!$B$4:$D$200,2,FALSE))+1),FALSE)</f>
        <v>114.3</v>
      </c>
      <c r="J55" s="120">
        <f>VLOOKUP($H55,FedEx!$B$10:$I$96,((VLOOKUP($E$10,Areas!$B$4:$D$200,3,FALSE))+1),FALSE)</f>
        <v>202.5</v>
      </c>
      <c r="K55" s="120">
        <f t="shared" si="1"/>
        <v>114.3</v>
      </c>
      <c r="L55" s="121" t="str">
        <f t="shared" si="2"/>
        <v/>
      </c>
      <c r="M55" s="120">
        <f t="shared" si="3"/>
        <v>114.3</v>
      </c>
      <c r="N55" s="111" t="str">
        <f t="shared" si="4"/>
        <v>UPS</v>
      </c>
      <c r="O55" s="7"/>
      <c r="P55" s="96">
        <v>25.0</v>
      </c>
      <c r="Q55" s="120">
        <f>VLOOKUP($P55, UPS!$J$10:$P$106,((VLOOKUP($E$10,Areas!$B$4:$D$200,2,FALSE))+1),FALSE)</f>
        <v>121.64</v>
      </c>
      <c r="R55" s="120">
        <f>VLOOKUP($P55, FedEx!$K$10:$R$96,((VLOOKUP($E$10,Areas!$B$4:$D$200,3,FALSE))+1),FALSE)</f>
        <v>188.5</v>
      </c>
      <c r="S55" s="120">
        <f t="shared" si="5"/>
        <v>121.64</v>
      </c>
      <c r="T55" s="121" t="str">
        <f t="shared" si="6"/>
        <v/>
      </c>
      <c r="U55" s="120">
        <f t="shared" si="7"/>
        <v>121.64</v>
      </c>
      <c r="V55" s="111" t="str">
        <f t="shared" si="8"/>
        <v>UPS</v>
      </c>
      <c r="W55" s="7"/>
      <c r="X55" s="7"/>
    </row>
    <row r="56" ht="14.25" customHeight="1">
      <c r="A56" s="7"/>
      <c r="B56" s="69"/>
      <c r="C56" s="96">
        <v>22.0</v>
      </c>
      <c r="D56" s="159">
        <f t="shared" si="9"/>
        <v>101.87</v>
      </c>
      <c r="E56" s="159">
        <f t="shared" si="10"/>
        <v>108.38</v>
      </c>
      <c r="F56" s="171"/>
      <c r="G56" s="7"/>
      <c r="H56" s="72">
        <v>25.5</v>
      </c>
      <c r="I56" s="88">
        <f>VLOOKUP($H56,UPS!$B$10:$H$106,((VLOOKUP($E$10,Areas!$B$4:$D$200,2,FALSE))+1),FALSE)</f>
        <v>116.51</v>
      </c>
      <c r="J56" s="88">
        <f>VLOOKUP($H56,FedEx!$B$10:$I$96,((VLOOKUP($E$10,Areas!$B$4:$D$200,3,FALSE))+1),FALSE)</f>
        <v>210.6</v>
      </c>
      <c r="K56" s="88">
        <f t="shared" si="1"/>
        <v>116.51</v>
      </c>
      <c r="L56" s="94" t="str">
        <f t="shared" si="2"/>
        <v/>
      </c>
      <c r="M56" s="88">
        <f t="shared" si="3"/>
        <v>116.51</v>
      </c>
      <c r="N56" s="111" t="str">
        <f t="shared" si="4"/>
        <v>UPS</v>
      </c>
      <c r="O56" s="7"/>
      <c r="P56" s="72">
        <v>25.5</v>
      </c>
      <c r="Q56" s="88">
        <f>VLOOKUP($P56, UPS!$J$10:$P$106,((VLOOKUP($E$10,Areas!$B$4:$D$200,2,FALSE))+1),FALSE)</f>
        <v>123.94</v>
      </c>
      <c r="R56" s="88">
        <f>VLOOKUP($P56, FedEx!$K$10:$R$96,((VLOOKUP($E$10,Areas!$B$4:$D$200,3,FALSE))+1),FALSE)</f>
        <v>196.04</v>
      </c>
      <c r="S56" s="88">
        <f t="shared" si="5"/>
        <v>123.94</v>
      </c>
      <c r="T56" s="94" t="str">
        <f t="shared" si="6"/>
        <v/>
      </c>
      <c r="U56" s="88">
        <f t="shared" si="7"/>
        <v>123.94</v>
      </c>
      <c r="V56" s="111" t="str">
        <f t="shared" si="8"/>
        <v>UPS</v>
      </c>
      <c r="W56" s="7"/>
      <c r="X56" s="7"/>
    </row>
    <row r="57" ht="14.25" customHeight="1">
      <c r="A57" s="7"/>
      <c r="B57" s="69"/>
      <c r="C57" s="72">
        <v>22.5</v>
      </c>
      <c r="D57" s="156">
        <f t="shared" si="9"/>
        <v>103.47</v>
      </c>
      <c r="E57" s="156">
        <f t="shared" si="10"/>
        <v>110.06</v>
      </c>
      <c r="F57" s="171"/>
      <c r="G57" s="7"/>
      <c r="H57" s="96">
        <v>26.0</v>
      </c>
      <c r="I57" s="120">
        <f>VLOOKUP($H57,UPS!$B$10:$H$106,((VLOOKUP($E$10,Areas!$B$4:$D$200,2,FALSE))+1),FALSE)</f>
        <v>118.55</v>
      </c>
      <c r="J57" s="120">
        <f>VLOOKUP($H57,FedEx!$B$10:$I$96,((VLOOKUP($E$10,Areas!$B$4:$D$200,3,FALSE))+1),FALSE)</f>
        <v>210.6</v>
      </c>
      <c r="K57" s="120">
        <f t="shared" si="1"/>
        <v>118.55</v>
      </c>
      <c r="L57" s="121" t="str">
        <f t="shared" si="2"/>
        <v/>
      </c>
      <c r="M57" s="120">
        <f t="shared" si="3"/>
        <v>118.55</v>
      </c>
      <c r="N57" s="111" t="str">
        <f t="shared" si="4"/>
        <v>UPS</v>
      </c>
      <c r="O57" s="7"/>
      <c r="P57" s="96">
        <v>26.0</v>
      </c>
      <c r="Q57" s="120">
        <f>VLOOKUP($P57, UPS!$J$10:$P$106,((VLOOKUP($E$10,Areas!$B$4:$D$200,2,FALSE))+1),FALSE)</f>
        <v>126.11</v>
      </c>
      <c r="R57" s="120">
        <f>VLOOKUP($P57, FedEx!$K$10:$R$96,((VLOOKUP($E$10,Areas!$B$4:$D$200,3,FALSE))+1),FALSE)</f>
        <v>196.04</v>
      </c>
      <c r="S57" s="120">
        <f t="shared" si="5"/>
        <v>126.11</v>
      </c>
      <c r="T57" s="121" t="str">
        <f t="shared" si="6"/>
        <v/>
      </c>
      <c r="U57" s="120">
        <f t="shared" si="7"/>
        <v>126.11</v>
      </c>
      <c r="V57" s="111" t="str">
        <f t="shared" si="8"/>
        <v>UPS</v>
      </c>
      <c r="W57" s="7"/>
      <c r="X57" s="7"/>
    </row>
    <row r="58" ht="14.25" customHeight="1">
      <c r="A58" s="7"/>
      <c r="B58" s="69"/>
      <c r="C58" s="96">
        <v>23.0</v>
      </c>
      <c r="D58" s="159">
        <f t="shared" si="9"/>
        <v>105.76</v>
      </c>
      <c r="E58" s="159">
        <f t="shared" si="10"/>
        <v>112.52</v>
      </c>
      <c r="F58" s="171"/>
      <c r="G58" s="7"/>
      <c r="H58" s="72">
        <v>26.5</v>
      </c>
      <c r="I58" s="88">
        <f>VLOOKUP($H58,UPS!$B$10:$H$106,((VLOOKUP($E$10,Areas!$B$4:$D$200,2,FALSE))+1),FALSE)</f>
        <v>120.68</v>
      </c>
      <c r="J58" s="88">
        <f>VLOOKUP($H58,FedEx!$B$10:$I$96,((VLOOKUP($E$10,Areas!$B$4:$D$200,3,FALSE))+1),FALSE)</f>
        <v>218.7</v>
      </c>
      <c r="K58" s="88">
        <f t="shared" si="1"/>
        <v>120.68</v>
      </c>
      <c r="L58" s="94" t="str">
        <f t="shared" si="2"/>
        <v/>
      </c>
      <c r="M58" s="88">
        <f t="shared" si="3"/>
        <v>120.68</v>
      </c>
      <c r="N58" s="111" t="str">
        <f t="shared" si="4"/>
        <v>UPS</v>
      </c>
      <c r="O58" s="7"/>
      <c r="P58" s="72">
        <v>26.5</v>
      </c>
      <c r="Q58" s="88">
        <f>VLOOKUP($P58, UPS!$J$10:$P$106,((VLOOKUP($E$10,Areas!$B$4:$D$200,2,FALSE))+1),FALSE)</f>
        <v>128.35</v>
      </c>
      <c r="R58" s="88">
        <f>VLOOKUP($P58, FedEx!$K$10:$R$96,((VLOOKUP($E$10,Areas!$B$4:$D$200,3,FALSE))+1),FALSE)</f>
        <v>203.58</v>
      </c>
      <c r="S58" s="88">
        <f t="shared" si="5"/>
        <v>128.35</v>
      </c>
      <c r="T58" s="94" t="str">
        <f t="shared" si="6"/>
        <v/>
      </c>
      <c r="U58" s="88">
        <f t="shared" si="7"/>
        <v>128.35</v>
      </c>
      <c r="V58" s="111" t="str">
        <f t="shared" si="8"/>
        <v>UPS</v>
      </c>
      <c r="W58" s="7"/>
      <c r="X58" s="7"/>
    </row>
    <row r="59" ht="14.25" customHeight="1">
      <c r="A59" s="7"/>
      <c r="B59" s="69"/>
      <c r="C59" s="72">
        <v>23.5</v>
      </c>
      <c r="D59" s="156">
        <f t="shared" si="9"/>
        <v>107.82</v>
      </c>
      <c r="E59" s="156">
        <f t="shared" si="10"/>
        <v>114.71</v>
      </c>
      <c r="F59" s="171"/>
      <c r="G59" s="7"/>
      <c r="H59" s="96">
        <v>27.0</v>
      </c>
      <c r="I59" s="120">
        <f>VLOOKUP($H59,UPS!$B$10:$H$106,((VLOOKUP($E$10,Areas!$B$4:$D$200,2,FALSE))+1),FALSE)</f>
        <v>122.81</v>
      </c>
      <c r="J59" s="120">
        <f>VLOOKUP($H59,FedEx!$B$10:$I$96,((VLOOKUP($E$10,Areas!$B$4:$D$200,3,FALSE))+1),FALSE)</f>
        <v>218.7</v>
      </c>
      <c r="K59" s="120">
        <f t="shared" si="1"/>
        <v>122.81</v>
      </c>
      <c r="L59" s="121" t="str">
        <f t="shared" si="2"/>
        <v/>
      </c>
      <c r="M59" s="120">
        <f t="shared" si="3"/>
        <v>122.81</v>
      </c>
      <c r="N59" s="111" t="str">
        <f t="shared" si="4"/>
        <v>UPS</v>
      </c>
      <c r="O59" s="7"/>
      <c r="P59" s="96">
        <v>27.0</v>
      </c>
      <c r="Q59" s="120">
        <f>VLOOKUP($P59, UPS!$J$10:$P$106,((VLOOKUP($E$10,Areas!$B$4:$D$200,2,FALSE))+1),FALSE)</f>
        <v>130.65</v>
      </c>
      <c r="R59" s="120">
        <f>VLOOKUP($P59, FedEx!$K$10:$R$96,((VLOOKUP($E$10,Areas!$B$4:$D$200,3,FALSE))+1),FALSE)</f>
        <v>203.58</v>
      </c>
      <c r="S59" s="120">
        <f t="shared" si="5"/>
        <v>130.65</v>
      </c>
      <c r="T59" s="121" t="str">
        <f t="shared" si="6"/>
        <v/>
      </c>
      <c r="U59" s="120">
        <f t="shared" si="7"/>
        <v>130.65</v>
      </c>
      <c r="V59" s="111" t="str">
        <f t="shared" si="8"/>
        <v>UPS</v>
      </c>
      <c r="W59" s="7"/>
      <c r="X59" s="7"/>
    </row>
    <row r="60" ht="14.25" customHeight="1">
      <c r="A60" s="7"/>
      <c r="B60" s="69"/>
      <c r="C60" s="96">
        <v>24.0</v>
      </c>
      <c r="D60" s="159">
        <f t="shared" si="9"/>
        <v>110.1</v>
      </c>
      <c r="E60" s="159">
        <f t="shared" si="10"/>
        <v>117.13</v>
      </c>
      <c r="F60" s="171"/>
      <c r="G60" s="7"/>
      <c r="H60" s="72">
        <v>27.5</v>
      </c>
      <c r="I60" s="88">
        <f>VLOOKUP($H60,UPS!$B$10:$H$106,((VLOOKUP($E$10,Areas!$B$4:$D$200,2,FALSE))+1),FALSE)</f>
        <v>125.06</v>
      </c>
      <c r="J60" s="88">
        <f>VLOOKUP($H60,FedEx!$B$10:$I$96,((VLOOKUP($E$10,Areas!$B$4:$D$200,3,FALSE))+1),FALSE)</f>
        <v>226.8</v>
      </c>
      <c r="K60" s="88">
        <f t="shared" si="1"/>
        <v>125.06</v>
      </c>
      <c r="L60" s="94" t="str">
        <f t="shared" si="2"/>
        <v/>
      </c>
      <c r="M60" s="88">
        <f t="shared" si="3"/>
        <v>125.06</v>
      </c>
      <c r="N60" s="111" t="str">
        <f t="shared" si="4"/>
        <v>UPS</v>
      </c>
      <c r="O60" s="7"/>
      <c r="P60" s="72">
        <v>27.5</v>
      </c>
      <c r="Q60" s="88">
        <f>VLOOKUP($P60, UPS!$J$10:$P$106,((VLOOKUP($E$10,Areas!$B$4:$D$200,2,FALSE))+1),FALSE)</f>
        <v>133.04</v>
      </c>
      <c r="R60" s="88">
        <f>VLOOKUP($P60, FedEx!$K$10:$R$96,((VLOOKUP($E$10,Areas!$B$4:$D$200,3,FALSE))+1),FALSE)</f>
        <v>211.12</v>
      </c>
      <c r="S60" s="88">
        <f t="shared" si="5"/>
        <v>133.04</v>
      </c>
      <c r="T60" s="94" t="str">
        <f t="shared" si="6"/>
        <v/>
      </c>
      <c r="U60" s="88">
        <f t="shared" si="7"/>
        <v>133.04</v>
      </c>
      <c r="V60" s="111" t="str">
        <f t="shared" si="8"/>
        <v>UPS</v>
      </c>
      <c r="W60" s="7"/>
      <c r="X60" s="7"/>
    </row>
    <row r="61" ht="14.25" customHeight="1">
      <c r="A61" s="7"/>
      <c r="B61" s="69"/>
      <c r="C61" s="72">
        <v>24.5</v>
      </c>
      <c r="D61" s="156">
        <f t="shared" si="9"/>
        <v>112.27</v>
      </c>
      <c r="E61" s="156">
        <f t="shared" si="10"/>
        <v>119.46</v>
      </c>
      <c r="F61" s="171"/>
      <c r="G61" s="7"/>
      <c r="H61" s="96">
        <v>28.0</v>
      </c>
      <c r="I61" s="120">
        <f>VLOOKUP($H61,UPS!$B$10:$H$106,((VLOOKUP($E$10,Areas!$B$4:$D$200,2,FALSE))+1),FALSE)</f>
        <v>127.1</v>
      </c>
      <c r="J61" s="120">
        <f>VLOOKUP($H61,FedEx!$B$10:$I$96,((VLOOKUP($E$10,Areas!$B$4:$D$200,3,FALSE))+1),FALSE)</f>
        <v>226.8</v>
      </c>
      <c r="K61" s="120">
        <f t="shared" si="1"/>
        <v>127.1</v>
      </c>
      <c r="L61" s="121" t="str">
        <f t="shared" si="2"/>
        <v/>
      </c>
      <c r="M61" s="120">
        <f t="shared" si="3"/>
        <v>127.1</v>
      </c>
      <c r="N61" s="111" t="str">
        <f t="shared" si="4"/>
        <v>UPS</v>
      </c>
      <c r="O61" s="7"/>
      <c r="P61" s="96">
        <v>28.0</v>
      </c>
      <c r="Q61" s="120">
        <f>VLOOKUP($P61, UPS!$J$10:$P$106,((VLOOKUP($E$10,Areas!$B$4:$D$200,2,FALSE))+1),FALSE)</f>
        <v>135.23</v>
      </c>
      <c r="R61" s="120">
        <f>VLOOKUP($P61, FedEx!$K$10:$R$96,((VLOOKUP($E$10,Areas!$B$4:$D$200,3,FALSE))+1),FALSE)</f>
        <v>211.12</v>
      </c>
      <c r="S61" s="120">
        <f t="shared" si="5"/>
        <v>135.23</v>
      </c>
      <c r="T61" s="121" t="str">
        <f t="shared" si="6"/>
        <v/>
      </c>
      <c r="U61" s="120">
        <f t="shared" si="7"/>
        <v>135.23</v>
      </c>
      <c r="V61" s="111" t="str">
        <f t="shared" si="8"/>
        <v>UPS</v>
      </c>
      <c r="W61" s="7"/>
      <c r="X61" s="7"/>
    </row>
    <row r="62" ht="14.25" customHeight="1">
      <c r="A62" s="7"/>
      <c r="B62" s="69"/>
      <c r="C62" s="96">
        <v>25.0</v>
      </c>
      <c r="D62" s="159">
        <f t="shared" si="9"/>
        <v>114.3</v>
      </c>
      <c r="E62" s="159">
        <f t="shared" si="10"/>
        <v>121.64</v>
      </c>
      <c r="F62" s="171"/>
      <c r="G62" s="7"/>
      <c r="H62" s="72">
        <v>28.5</v>
      </c>
      <c r="I62" s="88">
        <f>VLOOKUP($H62,UPS!$B$10:$H$106,((VLOOKUP($E$10,Areas!$B$4:$D$200,2,FALSE))+1),FALSE)</f>
        <v>129.1</v>
      </c>
      <c r="J62" s="88">
        <f>VLOOKUP($H62,FedEx!$B$10:$I$96,((VLOOKUP($E$10,Areas!$B$4:$D$200,3,FALSE))+1),FALSE)</f>
        <v>234.9</v>
      </c>
      <c r="K62" s="88">
        <f t="shared" si="1"/>
        <v>129.1</v>
      </c>
      <c r="L62" s="94" t="str">
        <f t="shared" si="2"/>
        <v/>
      </c>
      <c r="M62" s="88">
        <f t="shared" si="3"/>
        <v>129.1</v>
      </c>
      <c r="N62" s="111" t="str">
        <f t="shared" si="4"/>
        <v>UPS</v>
      </c>
      <c r="O62" s="7"/>
      <c r="P62" s="72">
        <v>28.5</v>
      </c>
      <c r="Q62" s="88">
        <f>VLOOKUP($P62, UPS!$J$10:$P$106,((VLOOKUP($E$10,Areas!$B$4:$D$200,2,FALSE))+1),FALSE)</f>
        <v>137.35</v>
      </c>
      <c r="R62" s="88">
        <f>VLOOKUP($P62, FedEx!$K$10:$R$96,((VLOOKUP($E$10,Areas!$B$4:$D$200,3,FALSE))+1),FALSE)</f>
        <v>218.66</v>
      </c>
      <c r="S62" s="88">
        <f t="shared" si="5"/>
        <v>137.35</v>
      </c>
      <c r="T62" s="94" t="str">
        <f t="shared" si="6"/>
        <v/>
      </c>
      <c r="U62" s="88">
        <f t="shared" si="7"/>
        <v>137.35</v>
      </c>
      <c r="V62" s="111" t="str">
        <f t="shared" si="8"/>
        <v>UPS</v>
      </c>
      <c r="W62" s="7"/>
      <c r="X62" s="7"/>
    </row>
    <row r="63" ht="14.25" customHeight="1">
      <c r="A63" s="7"/>
      <c r="B63" s="69"/>
      <c r="C63" s="72">
        <v>25.5</v>
      </c>
      <c r="D63" s="156">
        <f t="shared" si="9"/>
        <v>116.51</v>
      </c>
      <c r="E63" s="156">
        <f t="shared" si="10"/>
        <v>123.94</v>
      </c>
      <c r="F63" s="171"/>
      <c r="G63" s="7"/>
      <c r="H63" s="96">
        <v>29.0</v>
      </c>
      <c r="I63" s="120">
        <f>VLOOKUP($H63,UPS!$B$10:$H$106,((VLOOKUP($E$10,Areas!$B$4:$D$200,2,FALSE))+1),FALSE)</f>
        <v>131.34</v>
      </c>
      <c r="J63" s="120">
        <f>VLOOKUP($H63,FedEx!$B$10:$I$96,((VLOOKUP($E$10,Areas!$B$4:$D$200,3,FALSE))+1),FALSE)</f>
        <v>234.9</v>
      </c>
      <c r="K63" s="120">
        <f t="shared" si="1"/>
        <v>131.34</v>
      </c>
      <c r="L63" s="121" t="str">
        <f t="shared" si="2"/>
        <v/>
      </c>
      <c r="M63" s="120">
        <f t="shared" si="3"/>
        <v>131.34</v>
      </c>
      <c r="N63" s="111" t="str">
        <f t="shared" si="4"/>
        <v>UPS</v>
      </c>
      <c r="O63" s="7"/>
      <c r="P63" s="96">
        <v>29.0</v>
      </c>
      <c r="Q63" s="120">
        <f>VLOOKUP($P63, UPS!$J$10:$P$106,((VLOOKUP($E$10,Areas!$B$4:$D$200,2,FALSE))+1),FALSE)</f>
        <v>139.74</v>
      </c>
      <c r="R63" s="120">
        <f>VLOOKUP($P63, FedEx!$K$10:$R$96,((VLOOKUP($E$10,Areas!$B$4:$D$200,3,FALSE))+1),FALSE)</f>
        <v>218.66</v>
      </c>
      <c r="S63" s="120">
        <f t="shared" si="5"/>
        <v>139.74</v>
      </c>
      <c r="T63" s="121" t="str">
        <f t="shared" si="6"/>
        <v/>
      </c>
      <c r="U63" s="120">
        <f t="shared" si="7"/>
        <v>139.74</v>
      </c>
      <c r="V63" s="111" t="str">
        <f t="shared" si="8"/>
        <v>UPS</v>
      </c>
      <c r="W63" s="7"/>
      <c r="X63" s="7"/>
    </row>
    <row r="64" ht="14.25" customHeight="1">
      <c r="A64" s="7"/>
      <c r="B64" s="69"/>
      <c r="C64" s="96">
        <v>26.0</v>
      </c>
      <c r="D64" s="159">
        <f t="shared" si="9"/>
        <v>118.55</v>
      </c>
      <c r="E64" s="159">
        <f t="shared" si="10"/>
        <v>126.11</v>
      </c>
      <c r="F64" s="171"/>
      <c r="G64" s="7"/>
      <c r="H64" s="153">
        <v>29.5</v>
      </c>
      <c r="I64" s="88">
        <f>VLOOKUP($H64,UPS!$B$10:$H$106,((VLOOKUP($E$10,Areas!$B$4:$D$200,2,FALSE))+1),FALSE)</f>
        <v>133.46</v>
      </c>
      <c r="J64" s="88">
        <f>VLOOKUP($H64,FedEx!$B$10:$I$96,((VLOOKUP($E$10,Areas!$B$4:$D$200,3,FALSE))+1),FALSE)</f>
        <v>243</v>
      </c>
      <c r="K64" s="88">
        <f t="shared" si="1"/>
        <v>133.46</v>
      </c>
      <c r="L64" s="94" t="str">
        <f t="shared" si="2"/>
        <v/>
      </c>
      <c r="M64" s="88">
        <f t="shared" si="3"/>
        <v>133.46</v>
      </c>
      <c r="N64" s="111" t="str">
        <f t="shared" si="4"/>
        <v>UPS</v>
      </c>
      <c r="O64" s="7"/>
      <c r="P64" s="153">
        <v>29.5</v>
      </c>
      <c r="Q64" s="88">
        <f>VLOOKUP($P64, UPS!$J$10:$P$106,((VLOOKUP($E$10,Areas!$B$4:$D$200,2,FALSE))+1),FALSE)</f>
        <v>141.96</v>
      </c>
      <c r="R64" s="88">
        <f>VLOOKUP($P64, FedEx!$K$10:$R$96,((VLOOKUP($E$10,Areas!$B$4:$D$200,3,FALSE))+1),FALSE)</f>
        <v>226.2</v>
      </c>
      <c r="S64" s="88">
        <f t="shared" si="5"/>
        <v>141.96</v>
      </c>
      <c r="T64" s="94" t="str">
        <f t="shared" si="6"/>
        <v/>
      </c>
      <c r="U64" s="88">
        <f t="shared" si="7"/>
        <v>141.96</v>
      </c>
      <c r="V64" s="111" t="str">
        <f t="shared" si="8"/>
        <v>UPS</v>
      </c>
      <c r="W64" s="7"/>
      <c r="X64" s="7"/>
    </row>
    <row r="65" ht="14.25" customHeight="1">
      <c r="A65" s="7"/>
      <c r="B65" s="69"/>
      <c r="C65" s="72">
        <v>26.5</v>
      </c>
      <c r="D65" s="156">
        <f t="shared" si="9"/>
        <v>120.68</v>
      </c>
      <c r="E65" s="156">
        <f t="shared" si="10"/>
        <v>128.35</v>
      </c>
      <c r="F65" s="171"/>
      <c r="G65" s="7"/>
      <c r="H65" s="96">
        <v>30.0</v>
      </c>
      <c r="I65" s="120">
        <f>VLOOKUP($H65,UPS!$B$10:$H$106,((VLOOKUP($E$10,Areas!$B$4:$D$200,2,FALSE))+1),FALSE)</f>
        <v>135.66</v>
      </c>
      <c r="J65" s="120">
        <f>VLOOKUP($H65,FedEx!$B$10:$I$96,((VLOOKUP($E$10,Areas!$B$4:$D$200,3,FALSE))+1),FALSE)</f>
        <v>243</v>
      </c>
      <c r="K65" s="120">
        <f t="shared" si="1"/>
        <v>135.66</v>
      </c>
      <c r="L65" s="121" t="str">
        <f t="shared" si="2"/>
        <v/>
      </c>
      <c r="M65" s="120">
        <f t="shared" si="3"/>
        <v>135.66</v>
      </c>
      <c r="N65" s="111" t="str">
        <f t="shared" si="4"/>
        <v>UPS</v>
      </c>
      <c r="O65" s="7"/>
      <c r="P65" s="96">
        <v>30.0</v>
      </c>
      <c r="Q65" s="120">
        <f>VLOOKUP($P65, UPS!$J$10:$P$106,((VLOOKUP($E$10,Areas!$B$4:$D$200,2,FALSE))+1),FALSE)</f>
        <v>144.34</v>
      </c>
      <c r="R65" s="120">
        <f>VLOOKUP($P65, FedEx!$K$10:$R$96,((VLOOKUP($E$10,Areas!$B$4:$D$200,3,FALSE))+1),FALSE)</f>
        <v>226.2</v>
      </c>
      <c r="S65" s="120">
        <f t="shared" si="5"/>
        <v>144.34</v>
      </c>
      <c r="T65" s="121" t="str">
        <f t="shared" si="6"/>
        <v/>
      </c>
      <c r="U65" s="120">
        <f t="shared" si="7"/>
        <v>144.34</v>
      </c>
      <c r="V65" s="111" t="str">
        <f t="shared" si="8"/>
        <v>UPS</v>
      </c>
      <c r="W65" s="7"/>
      <c r="X65" s="7"/>
    </row>
    <row r="66" ht="14.25" customHeight="1">
      <c r="A66" s="7"/>
      <c r="B66" s="69"/>
      <c r="C66" s="96">
        <v>27.0</v>
      </c>
      <c r="D66" s="159">
        <f t="shared" si="9"/>
        <v>122.81</v>
      </c>
      <c r="E66" s="159">
        <f t="shared" si="10"/>
        <v>130.65</v>
      </c>
      <c r="F66" s="171"/>
      <c r="G66" s="7"/>
      <c r="H66" s="72">
        <v>30.5</v>
      </c>
      <c r="I66" s="88">
        <f>VLOOKUP($H66,UPS!$B$10:$H$106,((VLOOKUP($E$10,Areas!$B$4:$D$200,2,FALSE))+1),FALSE)</f>
        <v>137.83</v>
      </c>
      <c r="J66" s="88">
        <f>VLOOKUP($H66,FedEx!$B$10:$I$96,((VLOOKUP($E$10,Areas!$B$4:$D$200,3,FALSE))+1),FALSE)</f>
        <v>251.1</v>
      </c>
      <c r="K66" s="88">
        <f t="shared" si="1"/>
        <v>137.83</v>
      </c>
      <c r="L66" s="94" t="str">
        <f t="shared" si="2"/>
        <v/>
      </c>
      <c r="M66" s="88">
        <f t="shared" si="3"/>
        <v>137.83</v>
      </c>
      <c r="N66" s="111" t="str">
        <f t="shared" si="4"/>
        <v>UPS</v>
      </c>
      <c r="O66" s="7"/>
      <c r="P66" s="72">
        <v>30.5</v>
      </c>
      <c r="Q66" s="88">
        <f>VLOOKUP($P66, UPS!$J$10:$P$106,((VLOOKUP($E$10,Areas!$B$4:$D$200,2,FALSE))+1),FALSE)</f>
        <v>146.63</v>
      </c>
      <c r="R66" s="88">
        <f>VLOOKUP($P66, FedEx!$K$10:$R$96,((VLOOKUP($E$10,Areas!$B$4:$D$200,3,FALSE))+1),FALSE)</f>
        <v>233.74</v>
      </c>
      <c r="S66" s="88">
        <f t="shared" si="5"/>
        <v>146.63</v>
      </c>
      <c r="T66" s="94" t="str">
        <f t="shared" si="6"/>
        <v/>
      </c>
      <c r="U66" s="88">
        <f t="shared" si="7"/>
        <v>146.63</v>
      </c>
      <c r="V66" s="111" t="str">
        <f t="shared" si="8"/>
        <v>UPS</v>
      </c>
      <c r="W66" s="7"/>
      <c r="X66" s="7"/>
    </row>
    <row r="67" ht="14.25" customHeight="1">
      <c r="A67" s="7"/>
      <c r="B67" s="69"/>
      <c r="C67" s="72">
        <v>27.5</v>
      </c>
      <c r="D67" s="156">
        <f t="shared" si="9"/>
        <v>125.06</v>
      </c>
      <c r="E67" s="156">
        <f t="shared" si="10"/>
        <v>133.04</v>
      </c>
      <c r="F67" s="171"/>
      <c r="G67" s="7"/>
      <c r="H67" s="96">
        <v>31.0</v>
      </c>
      <c r="I67" s="120">
        <f>VLOOKUP($H67,UPS!$B$10:$H$106,((VLOOKUP($E$10,Areas!$B$4:$D$200,2,FALSE))+1),FALSE)</f>
        <v>139.87</v>
      </c>
      <c r="J67" s="120">
        <f>VLOOKUP($H67,FedEx!$B$10:$I$96,((VLOOKUP($E$10,Areas!$B$4:$D$200,3,FALSE))+1),FALSE)</f>
        <v>251.1</v>
      </c>
      <c r="K67" s="120">
        <f t="shared" si="1"/>
        <v>139.87</v>
      </c>
      <c r="L67" s="121" t="str">
        <f t="shared" si="2"/>
        <v/>
      </c>
      <c r="M67" s="120">
        <f t="shared" si="3"/>
        <v>139.87</v>
      </c>
      <c r="N67" s="111" t="str">
        <f t="shared" si="4"/>
        <v>UPS</v>
      </c>
      <c r="O67" s="7"/>
      <c r="P67" s="96">
        <v>31.0</v>
      </c>
      <c r="Q67" s="120">
        <f>VLOOKUP($P67, UPS!$J$10:$P$106,((VLOOKUP($E$10,Areas!$B$4:$D$200,2,FALSE))+1),FALSE)</f>
        <v>148.81</v>
      </c>
      <c r="R67" s="120">
        <f>VLOOKUP($P67, FedEx!$K$10:$R$96,((VLOOKUP($E$10,Areas!$B$4:$D$200,3,FALSE))+1),FALSE)</f>
        <v>233.74</v>
      </c>
      <c r="S67" s="120">
        <f t="shared" si="5"/>
        <v>148.81</v>
      </c>
      <c r="T67" s="121" t="str">
        <f t="shared" si="6"/>
        <v/>
      </c>
      <c r="U67" s="120">
        <f t="shared" si="7"/>
        <v>148.81</v>
      </c>
      <c r="V67" s="111" t="str">
        <f t="shared" si="8"/>
        <v>UPS</v>
      </c>
      <c r="W67" s="7"/>
      <c r="X67" s="7"/>
    </row>
    <row r="68" ht="14.25" customHeight="1">
      <c r="A68" s="7"/>
      <c r="B68" s="69"/>
      <c r="C68" s="96">
        <v>28.0</v>
      </c>
      <c r="D68" s="159">
        <f t="shared" si="9"/>
        <v>127.1</v>
      </c>
      <c r="E68" s="159">
        <f t="shared" si="10"/>
        <v>135.23</v>
      </c>
      <c r="F68" s="171"/>
      <c r="G68" s="7"/>
      <c r="H68" s="72">
        <v>31.5</v>
      </c>
      <c r="I68" s="88">
        <f>VLOOKUP($H68,UPS!$B$10:$H$106,((VLOOKUP($E$10,Areas!$B$4:$D$200,2,FALSE))+1),FALSE)</f>
        <v>142</v>
      </c>
      <c r="J68" s="88">
        <f>VLOOKUP($H68,FedEx!$B$10:$I$96,((VLOOKUP($E$10,Areas!$B$4:$D$200,3,FALSE))+1),FALSE)</f>
        <v>259.2</v>
      </c>
      <c r="K68" s="88">
        <f t="shared" si="1"/>
        <v>142</v>
      </c>
      <c r="L68" s="94" t="str">
        <f t="shared" si="2"/>
        <v/>
      </c>
      <c r="M68" s="88">
        <f t="shared" si="3"/>
        <v>142</v>
      </c>
      <c r="N68" s="111" t="str">
        <f t="shared" si="4"/>
        <v>UPS</v>
      </c>
      <c r="O68" s="7"/>
      <c r="P68" s="72">
        <v>31.5</v>
      </c>
      <c r="Q68" s="88">
        <f>VLOOKUP($P68, UPS!$J$10:$P$106,((VLOOKUP($E$10,Areas!$B$4:$D$200,2,FALSE))+1),FALSE)</f>
        <v>151.09</v>
      </c>
      <c r="R68" s="88">
        <f>VLOOKUP($P68, FedEx!$K$10:$R$96,((VLOOKUP($E$10,Areas!$B$4:$D$200,3,FALSE))+1),FALSE)</f>
        <v>241.28</v>
      </c>
      <c r="S68" s="88">
        <f t="shared" si="5"/>
        <v>151.09</v>
      </c>
      <c r="T68" s="94" t="str">
        <f t="shared" si="6"/>
        <v/>
      </c>
      <c r="U68" s="88">
        <f t="shared" si="7"/>
        <v>151.09</v>
      </c>
      <c r="V68" s="111" t="str">
        <f t="shared" si="8"/>
        <v>UPS</v>
      </c>
      <c r="W68" s="7"/>
      <c r="X68" s="7"/>
    </row>
    <row r="69" ht="14.25" customHeight="1">
      <c r="A69" s="7"/>
      <c r="B69" s="69"/>
      <c r="C69" s="72">
        <v>28.5</v>
      </c>
      <c r="D69" s="156">
        <f t="shared" si="9"/>
        <v>129.1</v>
      </c>
      <c r="E69" s="156">
        <f t="shared" si="10"/>
        <v>137.35</v>
      </c>
      <c r="F69" s="171"/>
      <c r="G69" s="7"/>
      <c r="H69" s="96" t="s">
        <v>36</v>
      </c>
      <c r="I69" s="120" t="str">
        <f>VLOOKUP($H69,UPS!$B$10:$H$106,((VLOOKUP($E$10,Areas!$B$4:$D$200,2,FALSE))+1),FALSE)</f>
        <v>#N/A</v>
      </c>
      <c r="J69" s="120" t="str">
        <f>VLOOKUP($H69,FedEx!$B$10:$I$96,((VLOOKUP($E$10,Areas!$B$4:$D$200,3,FALSE))+1),FALSE)</f>
        <v>#N/A</v>
      </c>
      <c r="K69" s="16"/>
      <c r="L69" s="17"/>
      <c r="M69" s="16"/>
      <c r="N69" s="7"/>
      <c r="O69" s="7"/>
      <c r="P69" s="96" t="s">
        <v>36</v>
      </c>
      <c r="Q69" s="120" t="str">
        <f>VLOOKUP($P69, UPS!$J$10:$P$106,((VLOOKUP($E$10,Areas!$B$4:$D$200,2,FALSE))+1),FALSE)</f>
        <v>#N/A</v>
      </c>
      <c r="R69" s="120" t="str">
        <f>VLOOKUP($P69, FedEx!$K$10:$R$96,((VLOOKUP($E$10,Areas!$B$4:$D$200,3,FALSE))+1),FALSE)</f>
        <v>#N/A</v>
      </c>
      <c r="S69" s="16"/>
      <c r="T69" s="17"/>
      <c r="U69" s="16"/>
      <c r="V69" s="7"/>
      <c r="W69" s="7"/>
      <c r="X69" s="7"/>
    </row>
    <row r="70" ht="14.25" customHeight="1">
      <c r="A70" s="7"/>
      <c r="B70" s="69"/>
      <c r="C70" s="96">
        <v>29.0</v>
      </c>
      <c r="D70" s="159">
        <f t="shared" si="9"/>
        <v>131.34</v>
      </c>
      <c r="E70" s="159">
        <f t="shared" si="10"/>
        <v>139.74</v>
      </c>
      <c r="F70" s="171"/>
      <c r="G70" s="7"/>
      <c r="H70" s="7"/>
      <c r="I70" s="16"/>
      <c r="J70" s="16"/>
      <c r="K70" s="16"/>
      <c r="L70" s="17"/>
      <c r="M70" s="16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ht="14.25" customHeight="1">
      <c r="A71" s="160"/>
      <c r="B71" s="69"/>
      <c r="C71" s="153">
        <v>29.5</v>
      </c>
      <c r="D71" s="156">
        <f t="shared" si="9"/>
        <v>133.46</v>
      </c>
      <c r="E71" s="156">
        <f t="shared" si="10"/>
        <v>141.96</v>
      </c>
      <c r="F71" s="171"/>
      <c r="G71" s="167"/>
      <c r="H71" s="7"/>
      <c r="I71" s="16"/>
      <c r="J71" s="16"/>
      <c r="K71" s="16"/>
      <c r="L71" s="17"/>
      <c r="M71" s="16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ht="14.25" customHeight="1">
      <c r="A72" s="160"/>
      <c r="B72" s="174"/>
      <c r="C72" s="96">
        <v>30.0</v>
      </c>
      <c r="D72" s="159">
        <f t="shared" si="9"/>
        <v>135.66</v>
      </c>
      <c r="E72" s="159">
        <f t="shared" si="10"/>
        <v>144.34</v>
      </c>
      <c r="F72" s="175"/>
      <c r="G72" s="167"/>
      <c r="H72" s="7"/>
      <c r="I72" s="16"/>
      <c r="J72" s="16"/>
      <c r="K72" s="16"/>
      <c r="L72" s="17"/>
      <c r="M72" s="16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ht="14.25" customHeight="1">
      <c r="A73" s="160"/>
      <c r="B73" s="69"/>
      <c r="C73" s="72">
        <v>30.5</v>
      </c>
      <c r="D73" s="156">
        <f t="shared" si="9"/>
        <v>137.83</v>
      </c>
      <c r="E73" s="156">
        <f t="shared" si="10"/>
        <v>146.63</v>
      </c>
      <c r="F73" s="171"/>
      <c r="G73" s="167"/>
      <c r="H73" s="7"/>
      <c r="I73" s="16"/>
      <c r="J73" s="16"/>
      <c r="K73" s="16"/>
      <c r="L73" s="17"/>
      <c r="M73" s="16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ht="14.25" customHeight="1">
      <c r="A74" s="160"/>
      <c r="B74" s="69"/>
      <c r="C74" s="96">
        <v>31.0</v>
      </c>
      <c r="D74" s="159">
        <f t="shared" si="9"/>
        <v>139.87</v>
      </c>
      <c r="E74" s="159">
        <f t="shared" si="10"/>
        <v>148.81</v>
      </c>
      <c r="F74" s="171"/>
      <c r="G74" s="167"/>
      <c r="H74" s="7"/>
      <c r="I74" s="16"/>
      <c r="J74" s="16"/>
      <c r="K74" s="16"/>
      <c r="L74" s="17"/>
      <c r="M74" s="16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ht="14.25" customHeight="1">
      <c r="A75" s="160"/>
      <c r="B75" s="69"/>
      <c r="C75" s="177">
        <v>31.5</v>
      </c>
      <c r="D75" s="156">
        <f t="shared" si="9"/>
        <v>142</v>
      </c>
      <c r="E75" s="156">
        <f t="shared" si="10"/>
        <v>151.09</v>
      </c>
      <c r="F75" s="171"/>
      <c r="G75" s="167"/>
      <c r="H75" s="7"/>
      <c r="I75" s="16"/>
      <c r="J75" s="16"/>
      <c r="K75" s="16"/>
      <c r="L75" s="17"/>
      <c r="M75" s="16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ht="14.25" customHeight="1">
      <c r="A76" s="160"/>
      <c r="B76" s="178"/>
      <c r="C76" s="179"/>
      <c r="D76" s="179"/>
      <c r="E76" s="179"/>
      <c r="F76" s="180"/>
      <c r="G76" s="167"/>
      <c r="H76" s="7"/>
      <c r="I76" s="16"/>
      <c r="J76" s="16"/>
      <c r="K76" s="16"/>
      <c r="L76" s="17"/>
      <c r="M76" s="16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ht="14.25" customHeight="1">
      <c r="A77" s="7"/>
      <c r="B77" s="181"/>
      <c r="C77" s="181"/>
      <c r="D77" s="181"/>
      <c r="E77" s="181"/>
      <c r="F77" s="181"/>
      <c r="G77" s="7"/>
      <c r="H77" s="7"/>
      <c r="I77" s="16"/>
      <c r="J77" s="16"/>
      <c r="K77" s="16"/>
      <c r="L77" s="17"/>
      <c r="M77" s="16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ht="14.25" customHeight="1">
      <c r="A78" s="7"/>
      <c r="B78" s="7"/>
      <c r="C78" s="7"/>
      <c r="D78" s="7"/>
      <c r="E78" s="7"/>
      <c r="F78" s="7"/>
      <c r="G78" s="7"/>
      <c r="H78" s="7"/>
      <c r="I78" s="16"/>
      <c r="J78" s="16"/>
      <c r="K78" s="16"/>
      <c r="L78" s="17"/>
      <c r="M78" s="16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ht="14.25" customHeight="1">
      <c r="A79" s="7"/>
      <c r="B79" s="7"/>
      <c r="C79" s="7"/>
      <c r="D79" s="7"/>
      <c r="E79" s="7"/>
      <c r="F79" s="7"/>
      <c r="G79" s="7"/>
      <c r="H79" s="7"/>
      <c r="I79" s="16"/>
      <c r="J79" s="16"/>
      <c r="K79" s="16"/>
      <c r="L79" s="17"/>
      <c r="M79" s="16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ht="14.25" customHeight="1">
      <c r="A80" s="7"/>
      <c r="B80" s="7"/>
      <c r="C80" s="7"/>
      <c r="D80" s="7"/>
      <c r="E80" s="7"/>
      <c r="F80" s="7"/>
      <c r="G80" s="7"/>
      <c r="H80" s="7"/>
      <c r="I80" s="16"/>
      <c r="J80" s="16"/>
      <c r="K80" s="16"/>
      <c r="L80" s="17"/>
      <c r="M80" s="16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16"/>
      <c r="J81" s="16"/>
      <c r="K81" s="16"/>
      <c r="L81" s="17"/>
      <c r="M81" s="16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16"/>
      <c r="J82" s="16"/>
      <c r="K82" s="16"/>
      <c r="L82" s="17"/>
      <c r="M82" s="16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ht="14.25" customHeight="1">
      <c r="A83" s="7"/>
      <c r="B83" s="7"/>
      <c r="C83" s="7"/>
      <c r="D83" s="7"/>
      <c r="E83" s="7"/>
      <c r="F83" s="7"/>
      <c r="G83" s="7"/>
      <c r="H83" s="7"/>
      <c r="I83" s="16"/>
      <c r="J83" s="16"/>
      <c r="K83" s="16"/>
      <c r="L83" s="17"/>
      <c r="M83" s="16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ht="14.25" customHeight="1">
      <c r="A84" s="7"/>
      <c r="B84" s="7"/>
      <c r="C84" s="7"/>
      <c r="D84" s="7"/>
      <c r="E84" s="7"/>
      <c r="F84" s="7"/>
      <c r="G84" s="7"/>
      <c r="H84" s="7"/>
      <c r="I84" s="16"/>
      <c r="J84" s="16"/>
      <c r="K84" s="16"/>
      <c r="L84" s="17"/>
      <c r="M84" s="16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ht="14.25" customHeight="1">
      <c r="A85" s="7"/>
      <c r="B85" s="7"/>
      <c r="C85" s="7"/>
      <c r="D85" s="7"/>
      <c r="E85" s="7"/>
      <c r="F85" s="7"/>
      <c r="G85" s="7"/>
      <c r="H85" s="7"/>
      <c r="I85" s="16"/>
      <c r="J85" s="16"/>
      <c r="K85" s="16"/>
      <c r="L85" s="17"/>
      <c r="M85" s="16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ht="14.25" customHeight="1">
      <c r="A86" s="7"/>
      <c r="B86" s="7"/>
      <c r="C86" s="7"/>
      <c r="D86" s="7"/>
      <c r="E86" s="7"/>
      <c r="F86" s="7"/>
      <c r="G86" s="7"/>
      <c r="H86" s="7"/>
      <c r="I86" s="16"/>
      <c r="J86" s="16"/>
      <c r="K86" s="16"/>
      <c r="L86" s="17"/>
      <c r="M86" s="16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ht="14.25" customHeight="1">
      <c r="A87" s="7"/>
      <c r="B87" s="7"/>
      <c r="C87" s="7"/>
      <c r="D87" s="7"/>
      <c r="E87" s="7"/>
      <c r="F87" s="7"/>
      <c r="G87" s="7"/>
      <c r="H87" s="7"/>
      <c r="I87" s="16"/>
      <c r="J87" s="16"/>
      <c r="K87" s="16"/>
      <c r="L87" s="17"/>
      <c r="M87" s="16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ht="14.25" customHeight="1">
      <c r="A88" s="7"/>
      <c r="B88" s="7"/>
      <c r="C88" s="7"/>
      <c r="D88" s="7"/>
      <c r="E88" s="7"/>
      <c r="F88" s="7"/>
      <c r="G88" s="7"/>
      <c r="H88" s="7"/>
      <c r="I88" s="16"/>
      <c r="J88" s="16"/>
      <c r="K88" s="16"/>
      <c r="L88" s="17"/>
      <c r="M88" s="16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ht="14.25" customHeight="1">
      <c r="A89" s="7"/>
      <c r="B89" s="7"/>
      <c r="C89" s="7"/>
      <c r="D89" s="7"/>
      <c r="E89" s="7"/>
      <c r="F89" s="7"/>
      <c r="G89" s="7"/>
      <c r="H89" s="7"/>
      <c r="I89" s="16"/>
      <c r="J89" s="16"/>
      <c r="K89" s="16"/>
      <c r="L89" s="17"/>
      <c r="M89" s="16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ht="14.25" customHeight="1">
      <c r="A90" s="7"/>
      <c r="B90" s="7"/>
      <c r="C90" s="7"/>
      <c r="D90" s="7"/>
      <c r="E90" s="7"/>
      <c r="F90" s="7"/>
      <c r="G90" s="7"/>
      <c r="H90" s="7"/>
      <c r="I90" s="16"/>
      <c r="J90" s="16"/>
      <c r="K90" s="16"/>
      <c r="L90" s="17"/>
      <c r="M90" s="16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ht="14.25" customHeight="1">
      <c r="A91" s="7"/>
      <c r="B91" s="7"/>
      <c r="C91" s="7"/>
      <c r="D91" s="7"/>
      <c r="E91" s="7"/>
      <c r="F91" s="7"/>
      <c r="G91" s="7"/>
      <c r="H91" s="7"/>
      <c r="I91" s="16"/>
      <c r="J91" s="16"/>
      <c r="K91" s="16"/>
      <c r="L91" s="17"/>
      <c r="M91" s="16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ht="14.25" customHeight="1">
      <c r="A92" s="7"/>
      <c r="B92" s="7"/>
      <c r="C92" s="7"/>
      <c r="D92" s="7"/>
      <c r="E92" s="7"/>
      <c r="F92" s="7"/>
      <c r="G92" s="7"/>
      <c r="H92" s="7"/>
      <c r="I92" s="16"/>
      <c r="J92" s="16"/>
      <c r="K92" s="16"/>
      <c r="L92" s="17"/>
      <c r="M92" s="16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ht="14.25" customHeight="1">
      <c r="A93" s="7"/>
      <c r="B93" s="7"/>
      <c r="C93" s="7"/>
      <c r="D93" s="7"/>
      <c r="E93" s="7"/>
      <c r="F93" s="7"/>
      <c r="G93" s="7"/>
      <c r="H93" s="7"/>
      <c r="I93" s="16"/>
      <c r="J93" s="16"/>
      <c r="K93" s="16"/>
      <c r="L93" s="17"/>
      <c r="M93" s="16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16"/>
      <c r="J94" s="16"/>
      <c r="K94" s="16"/>
      <c r="L94" s="17"/>
      <c r="M94" s="16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16"/>
      <c r="J95" s="16"/>
      <c r="K95" s="16"/>
      <c r="L95" s="17"/>
      <c r="M95" s="16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16"/>
      <c r="J96" s="16"/>
      <c r="K96" s="16"/>
      <c r="L96" s="17"/>
      <c r="M96" s="16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16"/>
      <c r="J97" s="16"/>
      <c r="K97" s="16"/>
      <c r="L97" s="17"/>
      <c r="M97" s="16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16"/>
      <c r="J98" s="16"/>
      <c r="K98" s="16"/>
      <c r="L98" s="17"/>
      <c r="M98" s="16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16"/>
      <c r="J99" s="16"/>
      <c r="K99" s="16"/>
      <c r="L99" s="17"/>
      <c r="M99" s="16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16"/>
      <c r="J100" s="16"/>
      <c r="K100" s="16"/>
      <c r="L100" s="17"/>
      <c r="M100" s="16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16"/>
      <c r="J101" s="16"/>
      <c r="K101" s="16"/>
      <c r="L101" s="17"/>
      <c r="M101" s="16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16"/>
      <c r="J102" s="16"/>
      <c r="K102" s="16"/>
      <c r="L102" s="17"/>
      <c r="M102" s="16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16"/>
      <c r="J103" s="16"/>
      <c r="K103" s="16"/>
      <c r="L103" s="17"/>
      <c r="M103" s="16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16"/>
      <c r="J104" s="16"/>
      <c r="K104" s="16"/>
      <c r="L104" s="17"/>
      <c r="M104" s="16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16"/>
      <c r="J105" s="16"/>
      <c r="K105" s="16"/>
      <c r="L105" s="17"/>
      <c r="M105" s="16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16"/>
      <c r="J106" s="16"/>
      <c r="K106" s="16"/>
      <c r="L106" s="17"/>
      <c r="M106" s="16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16"/>
      <c r="J107" s="16"/>
      <c r="K107" s="16"/>
      <c r="L107" s="17"/>
      <c r="M107" s="16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16"/>
      <c r="J108" s="16"/>
      <c r="K108" s="16"/>
      <c r="L108" s="17"/>
      <c r="M108" s="16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16"/>
      <c r="J109" s="16"/>
      <c r="K109" s="16"/>
      <c r="L109" s="17"/>
      <c r="M109" s="16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16"/>
      <c r="J110" s="16"/>
      <c r="K110" s="16"/>
      <c r="L110" s="17"/>
      <c r="M110" s="16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16"/>
      <c r="J111" s="16"/>
      <c r="K111" s="16"/>
      <c r="L111" s="17"/>
      <c r="M111" s="16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16"/>
      <c r="J112" s="16"/>
      <c r="K112" s="16"/>
      <c r="L112" s="17"/>
      <c r="M112" s="16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16"/>
      <c r="J113" s="16"/>
      <c r="K113" s="16"/>
      <c r="L113" s="17"/>
      <c r="M113" s="16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16"/>
      <c r="J114" s="16"/>
      <c r="K114" s="16"/>
      <c r="L114" s="17"/>
      <c r="M114" s="16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16"/>
      <c r="J115" s="16"/>
      <c r="K115" s="16"/>
      <c r="L115" s="17"/>
      <c r="M115" s="16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16"/>
      <c r="J116" s="16"/>
      <c r="K116" s="16"/>
      <c r="L116" s="17"/>
      <c r="M116" s="16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16"/>
      <c r="J117" s="16"/>
      <c r="K117" s="16"/>
      <c r="L117" s="17"/>
      <c r="M117" s="16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16"/>
      <c r="J118" s="16"/>
      <c r="K118" s="16"/>
      <c r="L118" s="17"/>
      <c r="M118" s="16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16"/>
      <c r="J119" s="16"/>
      <c r="K119" s="16"/>
      <c r="L119" s="17"/>
      <c r="M119" s="16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16"/>
      <c r="J120" s="16"/>
      <c r="K120" s="16"/>
      <c r="L120" s="17"/>
      <c r="M120" s="16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16"/>
      <c r="J121" s="16"/>
      <c r="K121" s="16"/>
      <c r="L121" s="17"/>
      <c r="M121" s="16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16"/>
      <c r="J122" s="16"/>
      <c r="K122" s="16"/>
      <c r="L122" s="17"/>
      <c r="M122" s="16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16"/>
      <c r="J123" s="16"/>
      <c r="K123" s="16"/>
      <c r="L123" s="17"/>
      <c r="M123" s="16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16"/>
      <c r="J124" s="16"/>
      <c r="K124" s="16"/>
      <c r="L124" s="17"/>
      <c r="M124" s="16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16"/>
      <c r="J125" s="16"/>
      <c r="K125" s="16"/>
      <c r="L125" s="17"/>
      <c r="M125" s="16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16"/>
      <c r="J126" s="16"/>
      <c r="K126" s="16"/>
      <c r="L126" s="17"/>
      <c r="M126" s="16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16"/>
      <c r="J127" s="16"/>
      <c r="K127" s="16"/>
      <c r="L127" s="17"/>
      <c r="M127" s="16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16"/>
      <c r="J128" s="16"/>
      <c r="K128" s="16"/>
      <c r="L128" s="17"/>
      <c r="M128" s="16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16"/>
      <c r="J129" s="16"/>
      <c r="K129" s="16"/>
      <c r="L129" s="17"/>
      <c r="M129" s="16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16"/>
      <c r="J130" s="16"/>
      <c r="K130" s="16"/>
      <c r="L130" s="17"/>
      <c r="M130" s="16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16"/>
      <c r="J131" s="16"/>
      <c r="K131" s="16"/>
      <c r="L131" s="17"/>
      <c r="M131" s="16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16"/>
      <c r="J132" s="16"/>
      <c r="K132" s="16"/>
      <c r="L132" s="17"/>
      <c r="M132" s="16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16"/>
      <c r="J133" s="16"/>
      <c r="K133" s="16"/>
      <c r="L133" s="17"/>
      <c r="M133" s="16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16"/>
      <c r="J134" s="16"/>
      <c r="K134" s="16"/>
      <c r="L134" s="17"/>
      <c r="M134" s="16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16"/>
      <c r="J135" s="16"/>
      <c r="K135" s="16"/>
      <c r="L135" s="17"/>
      <c r="M135" s="16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16"/>
      <c r="J136" s="16"/>
      <c r="K136" s="16"/>
      <c r="L136" s="17"/>
      <c r="M136" s="16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16"/>
      <c r="J137" s="16"/>
      <c r="K137" s="16"/>
      <c r="L137" s="17"/>
      <c r="M137" s="16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16"/>
      <c r="J138" s="16"/>
      <c r="K138" s="16"/>
      <c r="L138" s="17"/>
      <c r="M138" s="16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16"/>
      <c r="J139" s="16"/>
      <c r="K139" s="16"/>
      <c r="L139" s="17"/>
      <c r="M139" s="16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16"/>
      <c r="J140" s="16"/>
      <c r="K140" s="16"/>
      <c r="L140" s="17"/>
      <c r="M140" s="16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16"/>
      <c r="J141" s="16"/>
      <c r="K141" s="16"/>
      <c r="L141" s="17"/>
      <c r="M141" s="16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16"/>
      <c r="J142" s="16"/>
      <c r="K142" s="16"/>
      <c r="L142" s="17"/>
      <c r="M142" s="16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16"/>
      <c r="J143" s="16"/>
      <c r="K143" s="16"/>
      <c r="L143" s="17"/>
      <c r="M143" s="16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16"/>
      <c r="J144" s="16"/>
      <c r="K144" s="16"/>
      <c r="L144" s="17"/>
      <c r="M144" s="16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16"/>
      <c r="J145" s="16"/>
      <c r="K145" s="16"/>
      <c r="L145" s="17"/>
      <c r="M145" s="16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16"/>
      <c r="J146" s="16"/>
      <c r="K146" s="16"/>
      <c r="L146" s="17"/>
      <c r="M146" s="16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16"/>
      <c r="J147" s="16"/>
      <c r="K147" s="16"/>
      <c r="L147" s="17"/>
      <c r="M147" s="16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16"/>
      <c r="J148" s="16"/>
      <c r="K148" s="16"/>
      <c r="L148" s="17"/>
      <c r="M148" s="16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16"/>
      <c r="J149" s="16"/>
      <c r="K149" s="16"/>
      <c r="L149" s="17"/>
      <c r="M149" s="16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16"/>
      <c r="J150" s="16"/>
      <c r="K150" s="16"/>
      <c r="L150" s="17"/>
      <c r="M150" s="16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16"/>
      <c r="J151" s="16"/>
      <c r="K151" s="16"/>
      <c r="L151" s="17"/>
      <c r="M151" s="16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16"/>
      <c r="J152" s="16"/>
      <c r="K152" s="16"/>
      <c r="L152" s="17"/>
      <c r="M152" s="16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16"/>
      <c r="J153" s="16"/>
      <c r="K153" s="16"/>
      <c r="L153" s="17"/>
      <c r="M153" s="16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16"/>
      <c r="J154" s="16"/>
      <c r="K154" s="16"/>
      <c r="L154" s="17"/>
      <c r="M154" s="16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16"/>
      <c r="J155" s="16"/>
      <c r="K155" s="16"/>
      <c r="L155" s="17"/>
      <c r="M155" s="16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16"/>
      <c r="J156" s="16"/>
      <c r="K156" s="16"/>
      <c r="L156" s="17"/>
      <c r="M156" s="16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16"/>
      <c r="J157" s="16"/>
      <c r="K157" s="16"/>
      <c r="L157" s="17"/>
      <c r="M157" s="16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16"/>
      <c r="J158" s="16"/>
      <c r="K158" s="16"/>
      <c r="L158" s="17"/>
      <c r="M158" s="16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16"/>
      <c r="J159" s="16"/>
      <c r="K159" s="16"/>
      <c r="L159" s="17"/>
      <c r="M159" s="16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16"/>
      <c r="J160" s="16"/>
      <c r="K160" s="16"/>
      <c r="L160" s="17"/>
      <c r="M160" s="16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16"/>
      <c r="J161" s="16"/>
      <c r="K161" s="16"/>
      <c r="L161" s="17"/>
      <c r="M161" s="16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16"/>
      <c r="J162" s="16"/>
      <c r="K162" s="16"/>
      <c r="L162" s="17"/>
      <c r="M162" s="16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16"/>
      <c r="J163" s="16"/>
      <c r="K163" s="16"/>
      <c r="L163" s="17"/>
      <c r="M163" s="16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16"/>
      <c r="J164" s="16"/>
      <c r="K164" s="16"/>
      <c r="L164" s="17"/>
      <c r="M164" s="16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16"/>
      <c r="J165" s="16"/>
      <c r="K165" s="16"/>
      <c r="L165" s="17"/>
      <c r="M165" s="16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16"/>
      <c r="J166" s="16"/>
      <c r="K166" s="16"/>
      <c r="L166" s="17"/>
      <c r="M166" s="16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16"/>
      <c r="J167" s="16"/>
      <c r="K167" s="16"/>
      <c r="L167" s="17"/>
      <c r="M167" s="16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16"/>
      <c r="J168" s="16"/>
      <c r="K168" s="16"/>
      <c r="L168" s="17"/>
      <c r="M168" s="16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16"/>
      <c r="J169" s="16"/>
      <c r="K169" s="16"/>
      <c r="L169" s="17"/>
      <c r="M169" s="16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16"/>
      <c r="J170" s="16"/>
      <c r="K170" s="16"/>
      <c r="L170" s="17"/>
      <c r="M170" s="16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16"/>
      <c r="J171" s="16"/>
      <c r="K171" s="16"/>
      <c r="L171" s="17"/>
      <c r="M171" s="16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16"/>
      <c r="J172" s="16"/>
      <c r="K172" s="16"/>
      <c r="L172" s="17"/>
      <c r="M172" s="16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16"/>
      <c r="J173" s="16"/>
      <c r="K173" s="16"/>
      <c r="L173" s="17"/>
      <c r="M173" s="16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16"/>
      <c r="J174" s="16"/>
      <c r="K174" s="16"/>
      <c r="L174" s="17"/>
      <c r="M174" s="16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16"/>
      <c r="J175" s="16"/>
      <c r="K175" s="16"/>
      <c r="L175" s="17"/>
      <c r="M175" s="16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16"/>
      <c r="J176" s="16"/>
      <c r="K176" s="16"/>
      <c r="L176" s="17"/>
      <c r="M176" s="16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16"/>
      <c r="J177" s="16"/>
      <c r="K177" s="16"/>
      <c r="L177" s="17"/>
      <c r="M177" s="16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16"/>
      <c r="J178" s="16"/>
      <c r="K178" s="16"/>
      <c r="L178" s="17"/>
      <c r="M178" s="16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16"/>
      <c r="J179" s="16"/>
      <c r="K179" s="16"/>
      <c r="L179" s="17"/>
      <c r="M179" s="16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16"/>
      <c r="J180" s="16"/>
      <c r="K180" s="16"/>
      <c r="L180" s="17"/>
      <c r="M180" s="16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16"/>
      <c r="J181" s="16"/>
      <c r="K181" s="16"/>
      <c r="L181" s="17"/>
      <c r="M181" s="16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16"/>
      <c r="J182" s="16"/>
      <c r="K182" s="16"/>
      <c r="L182" s="17"/>
      <c r="M182" s="16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16"/>
      <c r="J183" s="16"/>
      <c r="K183" s="16"/>
      <c r="L183" s="17"/>
      <c r="M183" s="16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16"/>
      <c r="J184" s="16"/>
      <c r="K184" s="16"/>
      <c r="L184" s="17"/>
      <c r="M184" s="16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16"/>
      <c r="J185" s="16"/>
      <c r="K185" s="16"/>
      <c r="L185" s="17"/>
      <c r="M185" s="16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16"/>
      <c r="J186" s="16"/>
      <c r="K186" s="16"/>
      <c r="L186" s="17"/>
      <c r="M186" s="16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16"/>
      <c r="J187" s="16"/>
      <c r="K187" s="16"/>
      <c r="L187" s="17"/>
      <c r="M187" s="16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16"/>
      <c r="J188" s="16"/>
      <c r="K188" s="16"/>
      <c r="L188" s="17"/>
      <c r="M188" s="16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16"/>
      <c r="J189" s="16"/>
      <c r="K189" s="16"/>
      <c r="L189" s="17"/>
      <c r="M189" s="16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16"/>
      <c r="J190" s="16"/>
      <c r="K190" s="16"/>
      <c r="L190" s="17"/>
      <c r="M190" s="16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16"/>
      <c r="J191" s="16"/>
      <c r="K191" s="16"/>
      <c r="L191" s="17"/>
      <c r="M191" s="16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16"/>
      <c r="J192" s="16"/>
      <c r="K192" s="16"/>
      <c r="L192" s="17"/>
      <c r="M192" s="16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16"/>
      <c r="J193" s="16"/>
      <c r="K193" s="16"/>
      <c r="L193" s="17"/>
      <c r="M193" s="16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16"/>
      <c r="J194" s="16"/>
      <c r="K194" s="16"/>
      <c r="L194" s="17"/>
      <c r="M194" s="16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16"/>
      <c r="J195" s="16"/>
      <c r="K195" s="16"/>
      <c r="L195" s="17"/>
      <c r="M195" s="16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16"/>
      <c r="J196" s="16"/>
      <c r="K196" s="16"/>
      <c r="L196" s="17"/>
      <c r="M196" s="16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16"/>
      <c r="J197" s="16"/>
      <c r="K197" s="16"/>
      <c r="L197" s="17"/>
      <c r="M197" s="16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16"/>
      <c r="J198" s="16"/>
      <c r="K198" s="16"/>
      <c r="L198" s="17"/>
      <c r="M198" s="16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16"/>
      <c r="J199" s="16"/>
      <c r="K199" s="16"/>
      <c r="L199" s="17"/>
      <c r="M199" s="16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16"/>
      <c r="J200" s="16"/>
      <c r="K200" s="16"/>
      <c r="L200" s="17"/>
      <c r="M200" s="16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16"/>
      <c r="J201" s="16"/>
      <c r="K201" s="16"/>
      <c r="L201" s="17"/>
      <c r="M201" s="16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16"/>
      <c r="J202" s="16"/>
      <c r="K202" s="16"/>
      <c r="L202" s="17"/>
      <c r="M202" s="16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16"/>
      <c r="J203" s="16"/>
      <c r="K203" s="16"/>
      <c r="L203" s="17"/>
      <c r="M203" s="16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16"/>
      <c r="J204" s="16"/>
      <c r="K204" s="16"/>
      <c r="L204" s="17"/>
      <c r="M204" s="16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16"/>
      <c r="J205" s="16"/>
      <c r="K205" s="16"/>
      <c r="L205" s="17"/>
      <c r="M205" s="16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16"/>
      <c r="J206" s="16"/>
      <c r="K206" s="16"/>
      <c r="L206" s="17"/>
      <c r="M206" s="16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16"/>
      <c r="J207" s="16"/>
      <c r="K207" s="16"/>
      <c r="L207" s="17"/>
      <c r="M207" s="16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16"/>
      <c r="J208" s="16"/>
      <c r="K208" s="16"/>
      <c r="L208" s="17"/>
      <c r="M208" s="16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16"/>
      <c r="J209" s="16"/>
      <c r="K209" s="16"/>
      <c r="L209" s="17"/>
      <c r="M209" s="16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16"/>
      <c r="J210" s="16"/>
      <c r="K210" s="16"/>
      <c r="L210" s="17"/>
      <c r="M210" s="16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16"/>
      <c r="J211" s="16"/>
      <c r="K211" s="16"/>
      <c r="L211" s="17"/>
      <c r="M211" s="16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16"/>
      <c r="J212" s="16"/>
      <c r="K212" s="16"/>
      <c r="L212" s="17"/>
      <c r="M212" s="16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16"/>
      <c r="J213" s="16"/>
      <c r="K213" s="16"/>
      <c r="L213" s="17"/>
      <c r="M213" s="16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16"/>
      <c r="J214" s="16"/>
      <c r="K214" s="16"/>
      <c r="L214" s="17"/>
      <c r="M214" s="16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16"/>
      <c r="J215" s="16"/>
      <c r="K215" s="16"/>
      <c r="L215" s="17"/>
      <c r="M215" s="16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16"/>
      <c r="J216" s="16"/>
      <c r="K216" s="16"/>
      <c r="L216" s="17"/>
      <c r="M216" s="16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16"/>
      <c r="J217" s="16"/>
      <c r="K217" s="16"/>
      <c r="L217" s="17"/>
      <c r="M217" s="16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16"/>
      <c r="J218" s="16"/>
      <c r="K218" s="16"/>
      <c r="L218" s="17"/>
      <c r="M218" s="16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16"/>
      <c r="J219" s="16"/>
      <c r="K219" s="16"/>
      <c r="L219" s="17"/>
      <c r="M219" s="16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16"/>
      <c r="J220" s="16"/>
      <c r="K220" s="16"/>
      <c r="L220" s="17"/>
      <c r="M220" s="16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16"/>
      <c r="J221" s="16"/>
      <c r="K221" s="16"/>
      <c r="L221" s="17"/>
      <c r="M221" s="16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16"/>
      <c r="J222" s="16"/>
      <c r="K222" s="16"/>
      <c r="L222" s="17"/>
      <c r="M222" s="16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16"/>
      <c r="J223" s="16"/>
      <c r="K223" s="16"/>
      <c r="L223" s="17"/>
      <c r="M223" s="16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16"/>
      <c r="J224" s="16"/>
      <c r="K224" s="16"/>
      <c r="L224" s="17"/>
      <c r="M224" s="16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16"/>
      <c r="J225" s="16"/>
      <c r="K225" s="16"/>
      <c r="L225" s="17"/>
      <c r="M225" s="16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16"/>
      <c r="J226" s="16"/>
      <c r="K226" s="16"/>
      <c r="L226" s="17"/>
      <c r="M226" s="16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16"/>
      <c r="J227" s="16"/>
      <c r="K227" s="16"/>
      <c r="L227" s="17"/>
      <c r="M227" s="16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16"/>
      <c r="J228" s="16"/>
      <c r="K228" s="16"/>
      <c r="L228" s="17"/>
      <c r="M228" s="16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16"/>
      <c r="J229" s="16"/>
      <c r="K229" s="16"/>
      <c r="L229" s="17"/>
      <c r="M229" s="16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16"/>
      <c r="J230" s="16"/>
      <c r="K230" s="16"/>
      <c r="L230" s="17"/>
      <c r="M230" s="16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16"/>
      <c r="J231" s="16"/>
      <c r="K231" s="16"/>
      <c r="L231" s="17"/>
      <c r="M231" s="16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16"/>
      <c r="J232" s="16"/>
      <c r="K232" s="16"/>
      <c r="L232" s="17"/>
      <c r="M232" s="16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16"/>
      <c r="J233" s="16"/>
      <c r="K233" s="16"/>
      <c r="L233" s="17"/>
      <c r="M233" s="16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16"/>
      <c r="J234" s="16"/>
      <c r="K234" s="16"/>
      <c r="L234" s="17"/>
      <c r="M234" s="16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16"/>
      <c r="J235" s="16"/>
      <c r="K235" s="16"/>
      <c r="L235" s="17"/>
      <c r="M235" s="16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16"/>
      <c r="J236" s="16"/>
      <c r="K236" s="16"/>
      <c r="L236" s="17"/>
      <c r="M236" s="16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16"/>
      <c r="J237" s="16"/>
      <c r="K237" s="16"/>
      <c r="L237" s="17"/>
      <c r="M237" s="16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16"/>
      <c r="J238" s="16"/>
      <c r="K238" s="16"/>
      <c r="L238" s="17"/>
      <c r="M238" s="16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16"/>
      <c r="J239" s="16"/>
      <c r="K239" s="16"/>
      <c r="L239" s="17"/>
      <c r="M239" s="16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16"/>
      <c r="J240" s="16"/>
      <c r="K240" s="16"/>
      <c r="L240" s="17"/>
      <c r="M240" s="16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16"/>
      <c r="J241" s="16"/>
      <c r="K241" s="16"/>
      <c r="L241" s="17"/>
      <c r="M241" s="16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16"/>
      <c r="J242" s="16"/>
      <c r="K242" s="16"/>
      <c r="L242" s="17"/>
      <c r="M242" s="16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16"/>
      <c r="J243" s="16"/>
      <c r="K243" s="16"/>
      <c r="L243" s="17"/>
      <c r="M243" s="16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16"/>
      <c r="J244" s="16"/>
      <c r="K244" s="16"/>
      <c r="L244" s="17"/>
      <c r="M244" s="16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16"/>
      <c r="J245" s="16"/>
      <c r="K245" s="16"/>
      <c r="L245" s="17"/>
      <c r="M245" s="16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16"/>
      <c r="J246" s="16"/>
      <c r="K246" s="16"/>
      <c r="L246" s="17"/>
      <c r="M246" s="16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16"/>
      <c r="J247" s="16"/>
      <c r="K247" s="16"/>
      <c r="L247" s="17"/>
      <c r="M247" s="16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16"/>
      <c r="J248" s="16"/>
      <c r="K248" s="16"/>
      <c r="L248" s="17"/>
      <c r="M248" s="16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16"/>
      <c r="J249" s="16"/>
      <c r="K249" s="16"/>
      <c r="L249" s="17"/>
      <c r="M249" s="16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16"/>
      <c r="J250" s="16"/>
      <c r="K250" s="16"/>
      <c r="L250" s="17"/>
      <c r="M250" s="16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16"/>
      <c r="J251" s="16"/>
      <c r="K251" s="16"/>
      <c r="L251" s="17"/>
      <c r="M251" s="16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16"/>
      <c r="J252" s="16"/>
      <c r="K252" s="16"/>
      <c r="L252" s="17"/>
      <c r="M252" s="16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16"/>
      <c r="J253" s="16"/>
      <c r="K253" s="16"/>
      <c r="L253" s="17"/>
      <c r="M253" s="16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16"/>
      <c r="J254" s="16"/>
      <c r="K254" s="16"/>
      <c r="L254" s="17"/>
      <c r="M254" s="16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16"/>
      <c r="J255" s="16"/>
      <c r="K255" s="16"/>
      <c r="L255" s="17"/>
      <c r="M255" s="16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16"/>
      <c r="J256" s="16"/>
      <c r="K256" s="16"/>
      <c r="L256" s="17"/>
      <c r="M256" s="16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16"/>
      <c r="J257" s="16"/>
      <c r="K257" s="16"/>
      <c r="L257" s="17"/>
      <c r="M257" s="16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16"/>
      <c r="J258" s="16"/>
      <c r="K258" s="16"/>
      <c r="L258" s="17"/>
      <c r="M258" s="16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16"/>
      <c r="J259" s="16"/>
      <c r="K259" s="16"/>
      <c r="L259" s="17"/>
      <c r="M259" s="16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16"/>
      <c r="J260" s="16"/>
      <c r="K260" s="16"/>
      <c r="L260" s="17"/>
      <c r="M260" s="16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16"/>
      <c r="J261" s="16"/>
      <c r="K261" s="16"/>
      <c r="L261" s="17"/>
      <c r="M261" s="16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16"/>
      <c r="J262" s="16"/>
      <c r="K262" s="16"/>
      <c r="L262" s="17"/>
      <c r="M262" s="16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16"/>
      <c r="J263" s="16"/>
      <c r="K263" s="16"/>
      <c r="L263" s="17"/>
      <c r="M263" s="16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16"/>
      <c r="J264" s="16"/>
      <c r="K264" s="16"/>
      <c r="L264" s="17"/>
      <c r="M264" s="16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16"/>
      <c r="J265" s="16"/>
      <c r="K265" s="16"/>
      <c r="L265" s="17"/>
      <c r="M265" s="16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16"/>
      <c r="J266" s="16"/>
      <c r="K266" s="16"/>
      <c r="L266" s="17"/>
      <c r="M266" s="16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16"/>
      <c r="J267" s="16"/>
      <c r="K267" s="16"/>
      <c r="L267" s="17"/>
      <c r="M267" s="16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16"/>
      <c r="J268" s="16"/>
      <c r="K268" s="16"/>
      <c r="L268" s="17"/>
      <c r="M268" s="16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16"/>
      <c r="J269" s="16"/>
      <c r="K269" s="16"/>
      <c r="L269" s="17"/>
      <c r="M269" s="16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16"/>
      <c r="J270" s="16"/>
      <c r="K270" s="16"/>
      <c r="L270" s="17"/>
      <c r="M270" s="16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16"/>
      <c r="J271" s="16"/>
      <c r="K271" s="16"/>
      <c r="L271" s="17"/>
      <c r="M271" s="16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16"/>
      <c r="J272" s="16"/>
      <c r="K272" s="16"/>
      <c r="L272" s="17"/>
      <c r="M272" s="16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16"/>
      <c r="J273" s="16"/>
      <c r="K273" s="16"/>
      <c r="L273" s="17"/>
      <c r="M273" s="16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16"/>
      <c r="J274" s="16"/>
      <c r="K274" s="16"/>
      <c r="L274" s="17"/>
      <c r="M274" s="16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16"/>
      <c r="J275" s="16"/>
      <c r="K275" s="16"/>
      <c r="L275" s="17"/>
      <c r="M275" s="16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I4:N4"/>
    <mergeCell ref="Q4:V4"/>
    <mergeCell ref="C10:D10"/>
  </mergeCells>
  <conditionalFormatting sqref="N6:N68">
    <cfRule type="containsText" dxfId="0" priority="1" operator="containsText" text="TNT">
      <formula>NOT(ISERROR(SEARCH(("TNT"),(N6))))</formula>
    </cfRule>
  </conditionalFormatting>
  <conditionalFormatting sqref="N6:N68">
    <cfRule type="containsText" dxfId="1" priority="2" operator="containsText" text="FedEx">
      <formula>NOT(ISERROR(SEARCH(("FedEx"),(N6))))</formula>
    </cfRule>
  </conditionalFormatting>
  <conditionalFormatting sqref="N6:N68">
    <cfRule type="containsText" dxfId="2" priority="3" operator="containsText" text="UPS">
      <formula>NOT(ISERROR(SEARCH(("UPS"),(N6))))</formula>
    </cfRule>
  </conditionalFormatting>
  <conditionalFormatting sqref="V6:V68">
    <cfRule type="containsText" dxfId="0" priority="4" operator="containsText" text="TNT">
      <formula>NOT(ISERROR(SEARCH(("TNT"),(V6))))</formula>
    </cfRule>
  </conditionalFormatting>
  <conditionalFormatting sqref="V6:V68">
    <cfRule type="containsText" dxfId="1" priority="5" operator="containsText" text="FedEx">
      <formula>NOT(ISERROR(SEARCH(("FedEx"),(V6))))</formula>
    </cfRule>
  </conditionalFormatting>
  <conditionalFormatting sqref="V6:V68">
    <cfRule type="containsText" dxfId="2" priority="6" operator="containsText" text="UPS">
      <formula>NOT(ISERROR(SEARCH(("UPS"),(V6))))</formula>
    </cfRule>
  </conditionalFormatting>
  <dataValidations>
    <dataValidation type="list" allowBlank="1" showErrorMessage="1" sqref="E10">
      <formula1>Areas!$B$4:$B$196</formula1>
    </dataValidation>
  </dataValidations>
  <printOptions/>
  <pageMargins bottom="0.75" footer="0.0" header="0.0" left="0.7" right="0.7" top="0.75"/>
  <pageSetup paperSize="8" scale="6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9.14"/>
    <col customWidth="1" min="3" max="6" width="10.14"/>
    <col customWidth="1" min="7" max="7" width="5.43"/>
    <col customWidth="1" min="8" max="8" width="9.14"/>
    <col customWidth="1" min="9" max="12" width="10.14"/>
    <col customWidth="1" min="13" max="13" width="5.43"/>
    <col customWidth="1" min="14" max="14" width="9.14"/>
    <col customWidth="1" min="15" max="18" width="10.14"/>
    <col customWidth="1" min="19" max="23" width="9.14"/>
  </cols>
  <sheetData>
    <row r="1" ht="14.25" customHeight="1">
      <c r="A1" s="5"/>
      <c r="B1" s="5"/>
      <c r="C1" s="6"/>
      <c r="D1" s="6"/>
      <c r="E1" s="6"/>
      <c r="F1" s="5"/>
      <c r="G1" s="5"/>
      <c r="H1" s="5"/>
      <c r="I1" s="6"/>
      <c r="J1" s="6"/>
      <c r="K1" s="6"/>
      <c r="L1" s="5"/>
      <c r="M1" s="5"/>
      <c r="N1" s="5"/>
      <c r="O1" s="6"/>
      <c r="P1" s="6"/>
      <c r="Q1" s="6"/>
      <c r="R1" s="5"/>
      <c r="S1" s="5"/>
      <c r="T1" s="5"/>
      <c r="U1" s="5"/>
      <c r="V1" s="5"/>
      <c r="W1" s="5"/>
    </row>
    <row r="2" ht="15.0" customHeight="1">
      <c r="A2" s="5"/>
      <c r="B2" s="5"/>
      <c r="C2" s="6"/>
      <c r="D2" s="12"/>
      <c r="E2" s="12"/>
      <c r="F2" s="5"/>
      <c r="G2" s="5"/>
      <c r="H2" s="5"/>
      <c r="I2" s="6"/>
      <c r="J2" s="6"/>
      <c r="K2" s="6"/>
      <c r="L2" s="5"/>
      <c r="M2" s="5"/>
      <c r="N2" s="5"/>
      <c r="O2" s="6"/>
      <c r="P2" s="6"/>
      <c r="Q2" s="6"/>
      <c r="R2" s="5"/>
      <c r="S2" s="5"/>
      <c r="T2" s="5"/>
      <c r="U2" s="5"/>
      <c r="V2" s="5"/>
      <c r="W2" s="5"/>
    </row>
    <row r="3" ht="14.25" customHeight="1">
      <c r="A3" s="5"/>
      <c r="B3" s="5"/>
      <c r="C3" s="19" t="s">
        <v>4</v>
      </c>
      <c r="D3" s="26" t="s">
        <v>10</v>
      </c>
      <c r="E3" s="13"/>
      <c r="F3" s="28"/>
      <c r="G3" s="5"/>
      <c r="H3" s="5"/>
      <c r="I3" s="6"/>
      <c r="J3" s="6"/>
      <c r="K3" s="6"/>
      <c r="L3" s="5"/>
      <c r="M3" s="5"/>
      <c r="N3" s="5"/>
      <c r="O3" s="6"/>
      <c r="P3" s="6"/>
      <c r="Q3" s="6"/>
      <c r="R3" s="5"/>
      <c r="S3" s="5"/>
      <c r="T3" s="5"/>
      <c r="U3" s="5"/>
      <c r="V3" s="5"/>
      <c r="W3" s="5"/>
    </row>
    <row r="4" ht="14.25" customHeight="1">
      <c r="A4" s="5"/>
      <c r="B4" s="5"/>
      <c r="C4" s="12"/>
      <c r="D4" s="35"/>
      <c r="E4" s="35"/>
      <c r="F4" s="39"/>
      <c r="G4" s="5"/>
      <c r="H4" s="5"/>
      <c r="I4" s="6"/>
      <c r="J4" s="6"/>
      <c r="K4" s="6"/>
      <c r="L4" s="5"/>
      <c r="M4" s="5"/>
      <c r="N4" s="5"/>
      <c r="O4" s="12"/>
      <c r="P4" s="12"/>
      <c r="Q4" s="12"/>
      <c r="R4" s="39"/>
      <c r="S4" s="5"/>
      <c r="T4" s="5"/>
      <c r="U4" s="5"/>
      <c r="V4" s="5"/>
      <c r="W4" s="5"/>
    </row>
    <row r="5" ht="14.25" customHeight="1">
      <c r="A5" s="5"/>
      <c r="B5" s="44"/>
      <c r="C5" s="45" t="s">
        <v>17</v>
      </c>
      <c r="D5" s="11"/>
      <c r="E5" s="11"/>
      <c r="F5" s="13"/>
      <c r="G5" s="28"/>
      <c r="H5" s="5"/>
      <c r="I5" s="47" t="s">
        <v>18</v>
      </c>
      <c r="J5" s="11"/>
      <c r="K5" s="11"/>
      <c r="L5" s="13"/>
      <c r="M5" s="5"/>
      <c r="N5" s="44"/>
      <c r="O5" s="50" t="s">
        <v>19</v>
      </c>
      <c r="P5" s="11"/>
      <c r="Q5" s="11"/>
      <c r="R5" s="13"/>
      <c r="S5" s="28"/>
      <c r="T5" s="5"/>
      <c r="U5" s="5"/>
      <c r="V5" s="5"/>
      <c r="W5" s="5"/>
    </row>
    <row r="6" ht="14.25" customHeight="1">
      <c r="A6" s="5"/>
      <c r="B6" s="52" t="s">
        <v>15</v>
      </c>
      <c r="C6" s="54"/>
      <c r="D6" s="55"/>
      <c r="E6" s="58" t="s">
        <v>20</v>
      </c>
      <c r="F6" s="60" t="s">
        <v>21</v>
      </c>
      <c r="G6" s="28"/>
      <c r="H6" s="62" t="s">
        <v>15</v>
      </c>
      <c r="I6" s="55"/>
      <c r="J6" s="54"/>
      <c r="K6" s="58" t="s">
        <v>20</v>
      </c>
      <c r="L6" s="64" t="s">
        <v>21</v>
      </c>
      <c r="M6" s="5"/>
      <c r="N6" s="52" t="s">
        <v>15</v>
      </c>
      <c r="O6" s="55"/>
      <c r="P6" s="55"/>
      <c r="Q6" s="58" t="s">
        <v>20</v>
      </c>
      <c r="R6" s="60" t="s">
        <v>21</v>
      </c>
      <c r="S6" s="28"/>
      <c r="T6" s="5"/>
      <c r="U6" s="5"/>
      <c r="V6" s="5"/>
      <c r="W6" s="5"/>
    </row>
    <row r="7" ht="26.25" customHeight="1">
      <c r="A7" s="5"/>
      <c r="B7" s="44"/>
      <c r="C7" s="73"/>
      <c r="D7" s="73"/>
      <c r="E7" s="74"/>
      <c r="F7" s="74"/>
      <c r="G7" s="28"/>
      <c r="H7" s="39"/>
      <c r="I7" s="75" t="s">
        <v>25</v>
      </c>
      <c r="J7" s="75" t="s">
        <v>26</v>
      </c>
      <c r="K7" s="74"/>
      <c r="L7" s="76"/>
      <c r="M7" s="5"/>
      <c r="N7" s="78"/>
      <c r="O7" s="75"/>
      <c r="P7" s="75"/>
      <c r="Q7" s="74"/>
      <c r="R7" s="74"/>
      <c r="S7" s="28"/>
      <c r="T7" s="5"/>
      <c r="U7" s="5"/>
      <c r="V7" s="5"/>
      <c r="W7" s="5"/>
    </row>
    <row r="8" ht="14.25" customHeight="1">
      <c r="A8" s="5"/>
      <c r="B8" s="81"/>
      <c r="C8" s="82"/>
      <c r="D8" s="83"/>
      <c r="E8" s="84"/>
      <c r="F8" s="85"/>
      <c r="G8" s="86"/>
      <c r="H8" s="87"/>
      <c r="I8" s="89"/>
      <c r="J8" s="83"/>
      <c r="K8" s="84"/>
      <c r="L8" s="85"/>
      <c r="M8" s="86"/>
      <c r="N8" s="91" t="s">
        <v>14</v>
      </c>
      <c r="O8" s="95">
        <f>(VLOOKUP($N8, UPS!$J$4:$P$9,((VLOOKUP($D$3,Areas!$B$4:$D$200,2,FALSE))+1),FALSE))*(1+$O$6)</f>
        <v>15.89</v>
      </c>
      <c r="P8" s="95">
        <f>(VLOOKUP($N8, FedEx!$K$4:$R$9,((VLOOKUP($D$3,Areas!$B$4:$D$200,3,FALSE))+1),FALSE))*(1+$P$6)</f>
        <v>28.03</v>
      </c>
      <c r="Q8" s="95">
        <f t="shared" ref="Q8:Q84" si="1">MINA(O8:P8)</f>
        <v>15.89</v>
      </c>
      <c r="R8" s="99" t="str">
        <f t="shared" ref="R8:R84" si="2">IF(O8=Q8,"UPS",IF(P8=Q8,"FedEx",IF(#REF!=Q8,"DHL",0)))</f>
        <v>UPS</v>
      </c>
      <c r="S8" s="28"/>
      <c r="T8" s="5"/>
      <c r="U8" s="5"/>
      <c r="V8" s="5"/>
      <c r="W8" s="5"/>
    </row>
    <row r="9" ht="14.25" customHeight="1">
      <c r="A9" s="5"/>
      <c r="B9" s="100"/>
      <c r="C9" s="101"/>
      <c r="D9" s="102"/>
      <c r="E9" s="103"/>
      <c r="F9" s="104"/>
      <c r="G9" s="86"/>
      <c r="H9" s="106"/>
      <c r="I9" s="108"/>
      <c r="J9" s="102"/>
      <c r="K9" s="103"/>
      <c r="L9" s="104"/>
      <c r="M9" s="86"/>
      <c r="N9" s="109">
        <v>0.5</v>
      </c>
      <c r="O9" s="112">
        <f>(VLOOKUP($N9, UPS!$J$4:$P$9,((VLOOKUP($D$3,Areas!$B$4:$D$200,2,FALSE))+1),FALSE))*(1+$O$6)</f>
        <v>16.77</v>
      </c>
      <c r="P9" s="112">
        <f>(VLOOKUP($N9, FedEx!$K$4:$R$9,((VLOOKUP($D$3,Areas!$B$4:$D$200,3,FALSE))+1),FALSE))*(1+$P$6)</f>
        <v>22.43</v>
      </c>
      <c r="Q9" s="112">
        <f t="shared" si="1"/>
        <v>16.77</v>
      </c>
      <c r="R9" s="113" t="str">
        <f t="shared" si="2"/>
        <v>UPS</v>
      </c>
      <c r="S9" s="28"/>
      <c r="T9" s="5"/>
      <c r="U9" s="5"/>
      <c r="V9" s="5"/>
      <c r="W9" s="5"/>
    </row>
    <row r="10" ht="14.25" customHeight="1">
      <c r="A10" s="5"/>
      <c r="B10" s="100"/>
      <c r="C10" s="101"/>
      <c r="D10" s="102"/>
      <c r="E10" s="103"/>
      <c r="F10" s="104"/>
      <c r="G10" s="86"/>
      <c r="H10" s="106"/>
      <c r="I10" s="108"/>
      <c r="J10" s="102"/>
      <c r="K10" s="103"/>
      <c r="L10" s="104"/>
      <c r="M10" s="86"/>
      <c r="N10" s="109">
        <v>1.0</v>
      </c>
      <c r="O10" s="112">
        <f>(VLOOKUP($N10, UPS!$J$4:$P$9,((VLOOKUP($D$3,Areas!$B$4:$D$200,2,FALSE))+1),FALSE))*(1+$O$6)</f>
        <v>19.65</v>
      </c>
      <c r="P10" s="112">
        <f>(VLOOKUP($N10, FedEx!$K$4:$R$9,((VLOOKUP($D$3,Areas!$B$4:$D$200,3,FALSE))+1),FALSE))*(1+$P$6)</f>
        <v>27.97</v>
      </c>
      <c r="Q10" s="112">
        <f t="shared" si="1"/>
        <v>19.65</v>
      </c>
      <c r="R10" s="113" t="str">
        <f t="shared" si="2"/>
        <v>UPS</v>
      </c>
      <c r="S10" s="28"/>
      <c r="T10" s="5"/>
      <c r="U10" s="5"/>
      <c r="V10" s="5"/>
      <c r="W10" s="5"/>
    </row>
    <row r="11" ht="14.25" customHeight="1">
      <c r="A11" s="5"/>
      <c r="B11" s="100"/>
      <c r="C11" s="101"/>
      <c r="D11" s="102"/>
      <c r="E11" s="103"/>
      <c r="F11" s="104"/>
      <c r="G11" s="86"/>
      <c r="H11" s="106"/>
      <c r="I11" s="108"/>
      <c r="J11" s="102"/>
      <c r="K11" s="103"/>
      <c r="L11" s="104"/>
      <c r="M11" s="86"/>
      <c r="N11" s="109">
        <v>1.5</v>
      </c>
      <c r="O11" s="112">
        <f>(VLOOKUP($N11, UPS!$J$4:$P$9,((VLOOKUP($D$3,Areas!$B$4:$D$200,2,FALSE))+1),FALSE))*(1+$O$6)</f>
        <v>23.57</v>
      </c>
      <c r="P11" s="112">
        <f>(VLOOKUP($N11, FedEx!$K$4:$R$9,((VLOOKUP($D$3,Areas!$B$4:$D$200,3,FALSE))+1),FALSE))*(1+$P$6)</f>
        <v>33.49</v>
      </c>
      <c r="Q11" s="112">
        <f t="shared" si="1"/>
        <v>23.57</v>
      </c>
      <c r="R11" s="113" t="str">
        <f t="shared" si="2"/>
        <v>UPS</v>
      </c>
      <c r="S11" s="28"/>
      <c r="T11" s="5"/>
      <c r="U11" s="5"/>
      <c r="V11" s="5"/>
      <c r="W11" s="5"/>
    </row>
    <row r="12" ht="14.25" customHeight="1">
      <c r="A12" s="5"/>
      <c r="B12" s="100"/>
      <c r="C12" s="101"/>
      <c r="D12" s="102"/>
      <c r="E12" s="103"/>
      <c r="F12" s="104"/>
      <c r="G12" s="86"/>
      <c r="H12" s="106"/>
      <c r="I12" s="108"/>
      <c r="J12" s="102"/>
      <c r="K12" s="103"/>
      <c r="L12" s="104"/>
      <c r="M12" s="86"/>
      <c r="N12" s="109">
        <v>2.0</v>
      </c>
      <c r="O12" s="112">
        <f>(VLOOKUP($N12, UPS!$J$4:$P$9,((VLOOKUP($D$3,Areas!$B$4:$D$200,2,FALSE))+1),FALSE))*(1+$O$6)</f>
        <v>27.89</v>
      </c>
      <c r="P12" s="112">
        <f>(VLOOKUP($N12, FedEx!$K$4:$R$9,((VLOOKUP($D$3,Areas!$B$4:$D$200,3,FALSE))+1),FALSE))*(1+$P$6)</f>
        <v>39.01</v>
      </c>
      <c r="Q12" s="112">
        <f t="shared" si="1"/>
        <v>27.89</v>
      </c>
      <c r="R12" s="113" t="str">
        <f t="shared" si="2"/>
        <v>UPS</v>
      </c>
      <c r="S12" s="28"/>
      <c r="T12" s="5"/>
      <c r="U12" s="5"/>
      <c r="V12" s="5"/>
      <c r="W12" s="5"/>
    </row>
    <row r="13" ht="14.25" customHeight="1">
      <c r="A13" s="5"/>
      <c r="B13" s="127"/>
      <c r="C13" s="129"/>
      <c r="D13" s="131"/>
      <c r="E13" s="132"/>
      <c r="F13" s="134"/>
      <c r="G13" s="86"/>
      <c r="H13" s="135"/>
      <c r="I13" s="136"/>
      <c r="J13" s="131"/>
      <c r="K13" s="132"/>
      <c r="L13" s="134"/>
      <c r="M13" s="86"/>
      <c r="N13" s="137">
        <v>2.5</v>
      </c>
      <c r="O13" s="138">
        <f>(VLOOKUP($N13, UPS!$J$4:$P$9,((VLOOKUP($D$3,Areas!$B$4:$D$200,2,FALSE))+1),FALSE))*(1+$O$6)</f>
        <v>31.08</v>
      </c>
      <c r="P13" s="138">
        <f>(VLOOKUP($N13, FedEx!$K$4:$R$9,((VLOOKUP($D$3,Areas!$B$4:$D$200,3,FALSE))+1),FALSE))*(1+$P$6)</f>
        <v>44.53</v>
      </c>
      <c r="Q13" s="138">
        <f t="shared" si="1"/>
        <v>31.08</v>
      </c>
      <c r="R13" s="113" t="str">
        <f t="shared" si="2"/>
        <v>UPS</v>
      </c>
      <c r="S13" s="28"/>
      <c r="T13" s="5"/>
      <c r="U13" s="5"/>
      <c r="V13" s="5"/>
      <c r="W13" s="5"/>
    </row>
    <row r="14" ht="14.25" customHeight="1">
      <c r="A14" s="5"/>
      <c r="B14" s="139">
        <v>0.5</v>
      </c>
      <c r="C14" s="140">
        <f>(VLOOKUP($B14,UPS!$B$10:$H$106,((VLOOKUP($D$3,Areas!$B$4:$D$200,2,FALSE))+1),FALSE))*(1+$C$6)</f>
        <v>18.02</v>
      </c>
      <c r="D14" s="140">
        <f>(VLOOKUP($B14,FedEx!$B$10:$I$96,((VLOOKUP($D$3,Areas!$B$4:$D$200,3,FALSE))+1),FALSE))*(1+$D$6)</f>
        <v>35.19</v>
      </c>
      <c r="E14" s="140">
        <f t="shared" ref="E14:E84" si="3">MINA(C14:D14)</f>
        <v>18.02</v>
      </c>
      <c r="F14" s="143" t="str">
        <f t="shared" ref="F14:F84" si="4">IF(C14=E14,"UPS",IF(D14=E14,"FedEx",IF(#REF!=E14,"TNT",0)))</f>
        <v>UPS</v>
      </c>
      <c r="G14" s="86"/>
      <c r="H14" s="144">
        <v>0.5</v>
      </c>
      <c r="I14" s="140">
        <f t="shared" ref="I14:I84" si="5">E14</f>
        <v>18.02</v>
      </c>
      <c r="J14" s="140">
        <f>(VLOOKUP($H14,FedEx!$T$1:$Y$96,((VLOOKUP($D$3,Areas!$B$4:$E$200,4,FALSE))+1),FALSE))*(1+$J$6)</f>
        <v>38.22</v>
      </c>
      <c r="K14" s="140">
        <f t="shared" ref="K14:K84" si="6">MINA(I14:J14)</f>
        <v>18.02</v>
      </c>
      <c r="L14" s="143" t="str">
        <f t="shared" ref="L14:L84" si="7">IF(I14=K14,F14,IF(J14=K14,"Connect"))</f>
        <v>UPS</v>
      </c>
      <c r="M14" s="86"/>
      <c r="N14" s="146">
        <v>0.5</v>
      </c>
      <c r="O14" s="147">
        <f>(VLOOKUP($N14, UPS!$J$10:$P$106,((VLOOKUP($D$3,Areas!$B$4:$D$200,2,FALSE))+1),FALSE))*(1+$O$6)</f>
        <v>19.2</v>
      </c>
      <c r="P14" s="147">
        <f>(VLOOKUP($N14, FedEx!$K$10:$R$96,((VLOOKUP($D$3,Areas!$B$4:$D$200,3,FALSE))+1),FALSE))*(1+$P$6)</f>
        <v>32.03</v>
      </c>
      <c r="Q14" s="147">
        <f t="shared" si="1"/>
        <v>19.2</v>
      </c>
      <c r="R14" s="99" t="str">
        <f t="shared" si="2"/>
        <v>UPS</v>
      </c>
      <c r="S14" s="28"/>
      <c r="T14" s="5"/>
      <c r="U14" s="5"/>
      <c r="V14" s="5"/>
      <c r="W14" s="5"/>
    </row>
    <row r="15" ht="14.25" customHeight="1">
      <c r="A15" s="5"/>
      <c r="B15" s="148">
        <v>1.0</v>
      </c>
      <c r="C15" s="149">
        <f>(VLOOKUP($B15,UPS!$B$10:$H$106,((VLOOKUP($D$3,Areas!$B$4:$D$200,2,FALSE))+1),FALSE))*(1+$C$6)</f>
        <v>21.03</v>
      </c>
      <c r="D15" s="149">
        <f>(VLOOKUP($B15,FedEx!$B$10:$I$96,((VLOOKUP($D$3,Areas!$B$4:$D$200,3,FALSE))+1),FALSE))*(1+$D$6)</f>
        <v>39.52</v>
      </c>
      <c r="E15" s="149">
        <f t="shared" si="3"/>
        <v>21.03</v>
      </c>
      <c r="F15" s="113" t="str">
        <f t="shared" si="4"/>
        <v>UPS</v>
      </c>
      <c r="G15" s="86"/>
      <c r="H15" s="150">
        <v>1.0</v>
      </c>
      <c r="I15" s="149">
        <f t="shared" si="5"/>
        <v>21.03</v>
      </c>
      <c r="J15" s="149">
        <f>(VLOOKUP($H15,FedEx!$T$1:$Y$96,((VLOOKUP($D$3,Areas!$B$4:$E$200,4,FALSE))+1),FALSE))*(1+$J$6)</f>
        <v>38.22</v>
      </c>
      <c r="K15" s="149">
        <f t="shared" si="6"/>
        <v>21.03</v>
      </c>
      <c r="L15" s="113" t="str">
        <f t="shared" si="7"/>
        <v>UPS</v>
      </c>
      <c r="M15" s="86"/>
      <c r="N15" s="151">
        <v>1.0</v>
      </c>
      <c r="O15" s="149">
        <f>(VLOOKUP($N15, UPS!$J$10:$P$106,((VLOOKUP($D$3,Areas!$B$4:$D$200,2,FALSE))+1),FALSE))*(1+$O$6)</f>
        <v>22.35</v>
      </c>
      <c r="P15" s="149">
        <f>(VLOOKUP($N15, FedEx!$K$10:$R$96,((VLOOKUP($D$3,Areas!$B$4:$D$200,3,FALSE))+1),FALSE))*(1+$P$6)</f>
        <v>36.07</v>
      </c>
      <c r="Q15" s="147">
        <f t="shared" si="1"/>
        <v>22.35</v>
      </c>
      <c r="R15" s="113" t="str">
        <f t="shared" si="2"/>
        <v>UPS</v>
      </c>
      <c r="S15" s="28"/>
      <c r="T15" s="5"/>
      <c r="U15" s="5"/>
      <c r="V15" s="5"/>
      <c r="W15" s="5"/>
    </row>
    <row r="16" ht="14.25" customHeight="1">
      <c r="A16" s="5"/>
      <c r="B16" s="139">
        <v>1.5</v>
      </c>
      <c r="C16" s="140">
        <f>(VLOOKUP($B16,UPS!$B$10:$H$106,((VLOOKUP($D$3,Areas!$B$4:$D$200,2,FALSE))+1),FALSE))*(1+$C$6)</f>
        <v>24.04</v>
      </c>
      <c r="D16" s="140">
        <f>(VLOOKUP($B16,FedEx!$B$10:$I$96,((VLOOKUP($D$3,Areas!$B$4:$D$200,3,FALSE))+1),FALSE))*(1+$D$6)</f>
        <v>43.85</v>
      </c>
      <c r="E16" s="140">
        <f t="shared" si="3"/>
        <v>24.04</v>
      </c>
      <c r="F16" s="113" t="str">
        <f t="shared" si="4"/>
        <v>UPS</v>
      </c>
      <c r="G16" s="86"/>
      <c r="H16" s="153">
        <v>1.5</v>
      </c>
      <c r="I16" s="140">
        <f t="shared" si="5"/>
        <v>24.04</v>
      </c>
      <c r="J16" s="140">
        <f>(VLOOKUP($H16,FedEx!$T$1:$Y$96,((VLOOKUP($D$3,Areas!$B$4:$E$200,4,FALSE))+1),FALSE))*(1+$J$6)</f>
        <v>38.22</v>
      </c>
      <c r="K16" s="140">
        <f t="shared" si="6"/>
        <v>24.04</v>
      </c>
      <c r="L16" s="113" t="str">
        <f t="shared" si="7"/>
        <v>UPS</v>
      </c>
      <c r="M16" s="86"/>
      <c r="N16" s="157">
        <v>1.5</v>
      </c>
      <c r="O16" s="140">
        <f>(VLOOKUP($N16, UPS!$J$10:$P$106,((VLOOKUP($D$3,Areas!$B$4:$D$200,2,FALSE))+1),FALSE))*(1+$O$6)</f>
        <v>25.58</v>
      </c>
      <c r="P16" s="140">
        <f>(VLOOKUP($N16, FedEx!$K$10:$R$96,((VLOOKUP($D$3,Areas!$B$4:$D$200,3,FALSE))+1),FALSE))*(1+$P$6)</f>
        <v>40.11</v>
      </c>
      <c r="Q16" s="147">
        <f t="shared" si="1"/>
        <v>25.58</v>
      </c>
      <c r="R16" s="113" t="str">
        <f t="shared" si="2"/>
        <v>UPS</v>
      </c>
      <c r="S16" s="28"/>
      <c r="T16" s="5"/>
      <c r="U16" s="5"/>
      <c r="V16" s="5"/>
      <c r="W16" s="5"/>
    </row>
    <row r="17" ht="14.25" customHeight="1">
      <c r="A17" s="5"/>
      <c r="B17" s="148">
        <v>2.0</v>
      </c>
      <c r="C17" s="149">
        <f>(VLOOKUP($B17,UPS!$B$10:$H$106,((VLOOKUP($D$3,Areas!$B$4:$D$200,2,FALSE))+1),FALSE))*(1+$C$6)</f>
        <v>27.27</v>
      </c>
      <c r="D17" s="149">
        <f>(VLOOKUP($B17,FedEx!$B$10:$I$96,((VLOOKUP($D$3,Areas!$B$4:$D$200,3,FALSE))+1),FALSE))*(1+$D$6)</f>
        <v>48.18</v>
      </c>
      <c r="E17" s="149">
        <f t="shared" si="3"/>
        <v>27.27</v>
      </c>
      <c r="F17" s="113" t="str">
        <f t="shared" si="4"/>
        <v>UPS</v>
      </c>
      <c r="G17" s="86"/>
      <c r="H17" s="150">
        <v>2.0</v>
      </c>
      <c r="I17" s="149">
        <f t="shared" si="5"/>
        <v>27.27</v>
      </c>
      <c r="J17" s="149">
        <f>(VLOOKUP($H17,FedEx!$T$1:$Y$96,((VLOOKUP($D$3,Areas!$B$4:$E$200,4,FALSE))+1),FALSE))*(1+$J$6)</f>
        <v>38.22</v>
      </c>
      <c r="K17" s="149">
        <f t="shared" si="6"/>
        <v>27.27</v>
      </c>
      <c r="L17" s="113" t="str">
        <f t="shared" si="7"/>
        <v>UPS</v>
      </c>
      <c r="M17" s="86"/>
      <c r="N17" s="151">
        <v>2.0</v>
      </c>
      <c r="O17" s="149">
        <f>(VLOOKUP($N17, UPS!$J$10:$P$106,((VLOOKUP($D$3,Areas!$B$4:$D$200,2,FALSE))+1),FALSE))*(1+$O$6)</f>
        <v>29.02</v>
      </c>
      <c r="P17" s="149">
        <f>(VLOOKUP($N17, FedEx!$K$10:$R$96,((VLOOKUP($D$3,Areas!$B$4:$D$200,3,FALSE))+1),FALSE))*(1+$P$6)</f>
        <v>44.14</v>
      </c>
      <c r="Q17" s="147">
        <f t="shared" si="1"/>
        <v>29.02</v>
      </c>
      <c r="R17" s="113" t="str">
        <f t="shared" si="2"/>
        <v>UPS</v>
      </c>
      <c r="S17" s="28"/>
      <c r="T17" s="5"/>
      <c r="U17" s="5"/>
      <c r="V17" s="5"/>
      <c r="W17" s="5"/>
    </row>
    <row r="18" ht="14.25" customHeight="1">
      <c r="A18" s="5"/>
      <c r="B18" s="139">
        <v>2.5</v>
      </c>
      <c r="C18" s="140">
        <f>(VLOOKUP($B18,UPS!$B$10:$H$106,((VLOOKUP($D$3,Areas!$B$4:$D$200,2,FALSE))+1),FALSE))*(1+$C$6)</f>
        <v>30.02</v>
      </c>
      <c r="D18" s="140">
        <f>(VLOOKUP($B18,FedEx!$B$10:$I$96,((VLOOKUP($D$3,Areas!$B$4:$D$200,3,FALSE))+1),FALSE))*(1+$D$6)</f>
        <v>52.51</v>
      </c>
      <c r="E18" s="140">
        <f t="shared" si="3"/>
        <v>30.02</v>
      </c>
      <c r="F18" s="113" t="str">
        <f t="shared" si="4"/>
        <v>UPS</v>
      </c>
      <c r="G18" s="86"/>
      <c r="H18" s="153">
        <v>2.5</v>
      </c>
      <c r="I18" s="140">
        <f t="shared" si="5"/>
        <v>30.02</v>
      </c>
      <c r="J18" s="140">
        <f>(VLOOKUP($H18,FedEx!$T$1:$Y$96,((VLOOKUP($D$3,Areas!$B$4:$E$200,4,FALSE))+1),FALSE))*(1+$J$6)</f>
        <v>38.22</v>
      </c>
      <c r="K18" s="140">
        <f t="shared" si="6"/>
        <v>30.02</v>
      </c>
      <c r="L18" s="113" t="str">
        <f t="shared" si="7"/>
        <v>UPS</v>
      </c>
      <c r="M18" s="86"/>
      <c r="N18" s="157">
        <v>2.5</v>
      </c>
      <c r="O18" s="140">
        <f>(VLOOKUP($N18, UPS!$J$10:$P$106,((VLOOKUP($D$3,Areas!$B$4:$D$200,2,FALSE))+1),FALSE))*(1+$O$6)</f>
        <v>31.94</v>
      </c>
      <c r="P18" s="140">
        <f>(VLOOKUP($N18, FedEx!$K$10:$R$96,((VLOOKUP($D$3,Areas!$B$4:$D$200,3,FALSE))+1),FALSE))*(1+$P$6)</f>
        <v>48.18</v>
      </c>
      <c r="Q18" s="147">
        <f t="shared" si="1"/>
        <v>31.94</v>
      </c>
      <c r="R18" s="113" t="str">
        <f t="shared" si="2"/>
        <v>UPS</v>
      </c>
      <c r="S18" s="28"/>
      <c r="T18" s="5"/>
      <c r="U18" s="5"/>
      <c r="V18" s="5"/>
      <c r="W18" s="5"/>
    </row>
    <row r="19" ht="14.25" customHeight="1">
      <c r="A19" s="5"/>
      <c r="B19" s="148">
        <v>3.0</v>
      </c>
      <c r="C19" s="149">
        <f>(VLOOKUP($B19,UPS!$B$10:$H$106,((VLOOKUP($D$3,Areas!$B$4:$D$200,2,FALSE))+1),FALSE))*(1+$C$6)</f>
        <v>31.79</v>
      </c>
      <c r="D19" s="149">
        <f>(VLOOKUP($B19,FedEx!$B$10:$I$96,((VLOOKUP($D$3,Areas!$B$4:$D$200,3,FALSE))+1),FALSE))*(1+$D$6)</f>
        <v>57.04</v>
      </c>
      <c r="E19" s="149">
        <f t="shared" si="3"/>
        <v>31.79</v>
      </c>
      <c r="F19" s="113" t="str">
        <f t="shared" si="4"/>
        <v>UPS</v>
      </c>
      <c r="G19" s="86"/>
      <c r="H19" s="150">
        <v>3.0</v>
      </c>
      <c r="I19" s="149">
        <f t="shared" si="5"/>
        <v>31.79</v>
      </c>
      <c r="J19" s="149">
        <f>(VLOOKUP($H19,FedEx!$T$1:$Y$96,((VLOOKUP($D$3,Areas!$B$4:$E$200,4,FALSE))+1),FALSE))*(1+$J$6)</f>
        <v>69.02</v>
      </c>
      <c r="K19" s="149">
        <f t="shared" si="6"/>
        <v>31.79</v>
      </c>
      <c r="L19" s="113" t="str">
        <f t="shared" si="7"/>
        <v>UPS</v>
      </c>
      <c r="M19" s="86"/>
      <c r="N19" s="151">
        <v>3.0</v>
      </c>
      <c r="O19" s="149">
        <f>(VLOOKUP($N19, UPS!$J$10:$P$106,((VLOOKUP($D$3,Areas!$B$4:$D$200,2,FALSE))+1),FALSE))*(1+$O$6)</f>
        <v>33.83</v>
      </c>
      <c r="P19" s="149">
        <f>(VLOOKUP($N19, FedEx!$K$10:$R$96,((VLOOKUP($D$3,Areas!$B$4:$D$200,3,FALSE))+1),FALSE))*(1+$P$6)</f>
        <v>52.19</v>
      </c>
      <c r="Q19" s="147">
        <f t="shared" si="1"/>
        <v>33.83</v>
      </c>
      <c r="R19" s="113" t="str">
        <f t="shared" si="2"/>
        <v>UPS</v>
      </c>
      <c r="S19" s="28"/>
      <c r="T19" s="5"/>
      <c r="U19" s="5"/>
      <c r="V19" s="5"/>
      <c r="W19" s="5"/>
    </row>
    <row r="20" ht="14.25" customHeight="1">
      <c r="A20" s="5"/>
      <c r="B20" s="139">
        <v>3.5</v>
      </c>
      <c r="C20" s="140">
        <f>(VLOOKUP($B20,UPS!$B$10:$H$106,((VLOOKUP($D$3,Areas!$B$4:$D$200,2,FALSE))+1),FALSE))*(1+$C$6)</f>
        <v>33.75</v>
      </c>
      <c r="D20" s="140">
        <f>(VLOOKUP($B20,FedEx!$B$10:$I$96,((VLOOKUP($D$3,Areas!$B$4:$D$200,3,FALSE))+1),FALSE))*(1+$D$6)</f>
        <v>61.58</v>
      </c>
      <c r="E20" s="140">
        <f t="shared" si="3"/>
        <v>33.75</v>
      </c>
      <c r="F20" s="113" t="str">
        <f t="shared" si="4"/>
        <v>UPS</v>
      </c>
      <c r="G20" s="86"/>
      <c r="H20" s="153">
        <v>3.5</v>
      </c>
      <c r="I20" s="140">
        <f t="shared" si="5"/>
        <v>33.75</v>
      </c>
      <c r="J20" s="140">
        <f>(VLOOKUP($H20,FedEx!$T$1:$Y$96,((VLOOKUP($D$3,Areas!$B$4:$E$200,4,FALSE))+1),FALSE))*(1+$J$6)</f>
        <v>69.02</v>
      </c>
      <c r="K20" s="140">
        <f t="shared" si="6"/>
        <v>33.75</v>
      </c>
      <c r="L20" s="113" t="str">
        <f t="shared" si="7"/>
        <v>UPS</v>
      </c>
      <c r="M20" s="86"/>
      <c r="N20" s="157">
        <v>3.5</v>
      </c>
      <c r="O20" s="140">
        <f>(VLOOKUP($N20, UPS!$J$10:$P$106,((VLOOKUP($D$3,Areas!$B$4:$D$200,2,FALSE))+1),FALSE))*(1+$O$6)</f>
        <v>35.93</v>
      </c>
      <c r="P20" s="140">
        <f>(VLOOKUP($N20, FedEx!$K$10:$R$96,((VLOOKUP($D$3,Areas!$B$4:$D$200,3,FALSE))+1),FALSE))*(1+$P$6)</f>
        <v>56.21</v>
      </c>
      <c r="Q20" s="147">
        <f t="shared" si="1"/>
        <v>35.93</v>
      </c>
      <c r="R20" s="113" t="str">
        <f t="shared" si="2"/>
        <v>UPS</v>
      </c>
      <c r="S20" s="28"/>
      <c r="T20" s="5"/>
      <c r="U20" s="5"/>
      <c r="V20" s="5"/>
      <c r="W20" s="5"/>
    </row>
    <row r="21" ht="14.25" customHeight="1">
      <c r="A21" s="5"/>
      <c r="B21" s="148">
        <v>4.0</v>
      </c>
      <c r="C21" s="149">
        <f>(VLOOKUP($B21,UPS!$B$10:$H$106,((VLOOKUP($D$3,Areas!$B$4:$D$200,2,FALSE))+1),FALSE))*(1+$C$6)</f>
        <v>35.74</v>
      </c>
      <c r="D21" s="149">
        <f>(VLOOKUP($B21,FedEx!$B$10:$I$96,((VLOOKUP($D$3,Areas!$B$4:$D$200,3,FALSE))+1),FALSE))*(1+$D$6)</f>
        <v>66.12</v>
      </c>
      <c r="E21" s="149">
        <f t="shared" si="3"/>
        <v>35.74</v>
      </c>
      <c r="F21" s="113" t="str">
        <f t="shared" si="4"/>
        <v>UPS</v>
      </c>
      <c r="G21" s="86"/>
      <c r="H21" s="150">
        <v>4.0</v>
      </c>
      <c r="I21" s="149">
        <f t="shared" si="5"/>
        <v>35.74</v>
      </c>
      <c r="J21" s="149">
        <f>(VLOOKUP($H21,FedEx!$T$1:$Y$96,((VLOOKUP($D$3,Areas!$B$4:$E$200,4,FALSE))+1),FALSE))*(1+$J$6)</f>
        <v>69.02</v>
      </c>
      <c r="K21" s="149">
        <f t="shared" si="6"/>
        <v>35.74</v>
      </c>
      <c r="L21" s="113" t="str">
        <f t="shared" si="7"/>
        <v>UPS</v>
      </c>
      <c r="M21" s="86"/>
      <c r="N21" s="151">
        <v>4.0</v>
      </c>
      <c r="O21" s="149">
        <f>(VLOOKUP($N21, UPS!$J$10:$P$106,((VLOOKUP($D$3,Areas!$B$4:$D$200,2,FALSE))+1),FALSE))*(1+$O$6)</f>
        <v>38.03</v>
      </c>
      <c r="P21" s="149">
        <f>(VLOOKUP($N21, FedEx!$K$10:$R$96,((VLOOKUP($D$3,Areas!$B$4:$D$200,3,FALSE))+1),FALSE))*(1+$P$6)</f>
        <v>60.22</v>
      </c>
      <c r="Q21" s="147">
        <f t="shared" si="1"/>
        <v>38.03</v>
      </c>
      <c r="R21" s="113" t="str">
        <f t="shared" si="2"/>
        <v>UPS</v>
      </c>
      <c r="S21" s="28"/>
      <c r="T21" s="5"/>
      <c r="U21" s="5"/>
      <c r="V21" s="5"/>
      <c r="W21" s="5"/>
    </row>
    <row r="22" ht="14.25" customHeight="1">
      <c r="A22" s="5"/>
      <c r="B22" s="139">
        <v>4.5</v>
      </c>
      <c r="C22" s="140">
        <f>(VLOOKUP($B22,UPS!$B$10:$H$106,((VLOOKUP($D$3,Areas!$B$4:$D$200,2,FALSE))+1),FALSE))*(1+$C$6)</f>
        <v>37.86</v>
      </c>
      <c r="D22" s="140">
        <f>(VLOOKUP($B22,FedEx!$B$10:$I$96,((VLOOKUP($D$3,Areas!$B$4:$D$200,3,FALSE))+1),FALSE))*(1+$D$6)</f>
        <v>70.65</v>
      </c>
      <c r="E22" s="140">
        <f t="shared" si="3"/>
        <v>37.86</v>
      </c>
      <c r="F22" s="113" t="str">
        <f t="shared" si="4"/>
        <v>UPS</v>
      </c>
      <c r="G22" s="86"/>
      <c r="H22" s="153">
        <v>4.5</v>
      </c>
      <c r="I22" s="140">
        <f t="shared" si="5"/>
        <v>37.86</v>
      </c>
      <c r="J22" s="140">
        <f>(VLOOKUP($H22,FedEx!$T$1:$Y$96,((VLOOKUP($D$3,Areas!$B$4:$E$200,4,FALSE))+1),FALSE))*(1+$J$6)</f>
        <v>69.02</v>
      </c>
      <c r="K22" s="140">
        <f t="shared" si="6"/>
        <v>37.86</v>
      </c>
      <c r="L22" s="113" t="str">
        <f t="shared" si="7"/>
        <v>UPS</v>
      </c>
      <c r="M22" s="86"/>
      <c r="N22" s="157">
        <v>4.5</v>
      </c>
      <c r="O22" s="140">
        <f>(VLOOKUP($N22, UPS!$J$10:$P$106,((VLOOKUP($D$3,Areas!$B$4:$D$200,2,FALSE))+1),FALSE))*(1+$O$6)</f>
        <v>40.27</v>
      </c>
      <c r="P22" s="140">
        <f>(VLOOKUP($N22, FedEx!$K$10:$R$96,((VLOOKUP($D$3,Areas!$B$4:$D$200,3,FALSE))+1),FALSE))*(1+$P$6)</f>
        <v>64.24</v>
      </c>
      <c r="Q22" s="147">
        <f t="shared" si="1"/>
        <v>40.27</v>
      </c>
      <c r="R22" s="113" t="str">
        <f t="shared" si="2"/>
        <v>UPS</v>
      </c>
      <c r="S22" s="28"/>
      <c r="T22" s="5"/>
      <c r="U22" s="5"/>
      <c r="V22" s="5"/>
      <c r="W22" s="5"/>
    </row>
    <row r="23" ht="14.25" customHeight="1">
      <c r="A23" s="5"/>
      <c r="B23" s="148">
        <v>5.0</v>
      </c>
      <c r="C23" s="149">
        <f>(VLOOKUP($B23,UPS!$B$10:$H$106,((VLOOKUP($D$3,Areas!$B$4:$D$200,2,FALSE))+1),FALSE))*(1+$C$6)</f>
        <v>40.07</v>
      </c>
      <c r="D23" s="149">
        <f>(VLOOKUP($B23,FedEx!$B$10:$I$96,((VLOOKUP($D$3,Areas!$B$4:$D$200,3,FALSE))+1),FALSE))*(1+$D$6)</f>
        <v>75.19</v>
      </c>
      <c r="E23" s="149">
        <f t="shared" si="3"/>
        <v>40.07</v>
      </c>
      <c r="F23" s="113" t="str">
        <f t="shared" si="4"/>
        <v>UPS</v>
      </c>
      <c r="G23" s="86"/>
      <c r="H23" s="150">
        <v>5.0</v>
      </c>
      <c r="I23" s="149">
        <f t="shared" si="5"/>
        <v>40.07</v>
      </c>
      <c r="J23" s="149">
        <f>(VLOOKUP($H23,FedEx!$T$1:$Y$96,((VLOOKUP($D$3,Areas!$B$4:$E$200,4,FALSE))+1),FALSE))*(1+$J$6)</f>
        <v>69.02</v>
      </c>
      <c r="K23" s="149">
        <f t="shared" si="6"/>
        <v>40.07</v>
      </c>
      <c r="L23" s="113" t="str">
        <f t="shared" si="7"/>
        <v>UPS</v>
      </c>
      <c r="M23" s="86"/>
      <c r="N23" s="151">
        <v>5.0</v>
      </c>
      <c r="O23" s="149">
        <f>(VLOOKUP($N23, UPS!$J$10:$P$106,((VLOOKUP($D$3,Areas!$B$4:$D$200,2,FALSE))+1),FALSE))*(1+$O$6)</f>
        <v>42.64</v>
      </c>
      <c r="P23" s="149">
        <f>(VLOOKUP($N23, FedEx!$K$10:$R$96,((VLOOKUP($D$3,Areas!$B$4:$D$200,3,FALSE))+1),FALSE))*(1+$P$6)</f>
        <v>68.25</v>
      </c>
      <c r="Q23" s="147">
        <f t="shared" si="1"/>
        <v>42.64</v>
      </c>
      <c r="R23" s="113" t="str">
        <f t="shared" si="2"/>
        <v>UPS</v>
      </c>
      <c r="S23" s="28"/>
      <c r="T23" s="5"/>
      <c r="U23" s="5"/>
      <c r="V23" s="5"/>
      <c r="W23" s="5"/>
    </row>
    <row r="24" ht="14.25" customHeight="1">
      <c r="A24" s="5"/>
      <c r="B24" s="139">
        <v>5.5</v>
      </c>
      <c r="C24" s="140">
        <f>(VLOOKUP($B24,UPS!$B$10:$H$106,((VLOOKUP($D$3,Areas!$B$4:$D$200,2,FALSE))+1),FALSE))*(1+$C$6)</f>
        <v>41.99</v>
      </c>
      <c r="D24" s="140">
        <f>(VLOOKUP($B24,FedEx!$B$10:$I$96,((VLOOKUP($D$3,Areas!$B$4:$D$200,3,FALSE))+1),FALSE))*(1+$D$6)</f>
        <v>78.35</v>
      </c>
      <c r="E24" s="140">
        <f t="shared" si="3"/>
        <v>41.99</v>
      </c>
      <c r="F24" s="113" t="str">
        <f t="shared" si="4"/>
        <v>UPS</v>
      </c>
      <c r="G24" s="86"/>
      <c r="H24" s="153">
        <v>5.5</v>
      </c>
      <c r="I24" s="140">
        <f t="shared" si="5"/>
        <v>41.99</v>
      </c>
      <c r="J24" s="140">
        <f>(VLOOKUP($H24,FedEx!$T$1:$Y$96,((VLOOKUP($D$3,Areas!$B$4:$E$200,4,FALSE))+1),FALSE))*(1+$J$6)</f>
        <v>97.62</v>
      </c>
      <c r="K24" s="140">
        <f t="shared" si="6"/>
        <v>41.99</v>
      </c>
      <c r="L24" s="113" t="str">
        <f t="shared" si="7"/>
        <v>UPS</v>
      </c>
      <c r="M24" s="86"/>
      <c r="N24" s="157">
        <v>5.5</v>
      </c>
      <c r="O24" s="140">
        <f>(VLOOKUP($N24, UPS!$J$10:$P$106,((VLOOKUP($D$3,Areas!$B$4:$D$200,2,FALSE))+1),FALSE))*(1+$O$6)</f>
        <v>44.67</v>
      </c>
      <c r="P24" s="140">
        <f>(VLOOKUP($N24, FedEx!$K$10:$R$96,((VLOOKUP($D$3,Areas!$B$4:$D$200,3,FALSE))+1),FALSE))*(1+$P$6)</f>
        <v>71.2</v>
      </c>
      <c r="Q24" s="147">
        <f t="shared" si="1"/>
        <v>44.67</v>
      </c>
      <c r="R24" s="113" t="str">
        <f t="shared" si="2"/>
        <v>UPS</v>
      </c>
      <c r="S24" s="28"/>
      <c r="T24" s="5"/>
      <c r="U24" s="5"/>
      <c r="V24" s="5"/>
      <c r="W24" s="5"/>
    </row>
    <row r="25" ht="14.25" customHeight="1">
      <c r="A25" s="5"/>
      <c r="B25" s="148">
        <v>6.0</v>
      </c>
      <c r="C25" s="149">
        <f>(VLOOKUP($B25,UPS!$B$10:$H$106,((VLOOKUP($D$3,Areas!$B$4:$D$200,2,FALSE))+1),FALSE))*(1+$C$6)</f>
        <v>44.07</v>
      </c>
      <c r="D25" s="149">
        <f>(VLOOKUP($B25,FedEx!$B$10:$I$96,((VLOOKUP($D$3,Areas!$B$4:$D$200,3,FALSE))+1),FALSE))*(1+$D$6)</f>
        <v>81.51</v>
      </c>
      <c r="E25" s="149">
        <f t="shared" si="3"/>
        <v>44.07</v>
      </c>
      <c r="F25" s="113" t="str">
        <f t="shared" si="4"/>
        <v>UPS</v>
      </c>
      <c r="G25" s="86"/>
      <c r="H25" s="150">
        <v>6.0</v>
      </c>
      <c r="I25" s="149">
        <f t="shared" si="5"/>
        <v>44.07</v>
      </c>
      <c r="J25" s="149">
        <f>(VLOOKUP($H25,FedEx!$T$1:$Y$96,((VLOOKUP($D$3,Areas!$B$4:$E$200,4,FALSE))+1),FALSE))*(1+$J$6)</f>
        <v>97.62</v>
      </c>
      <c r="K25" s="149">
        <f t="shared" si="6"/>
        <v>44.07</v>
      </c>
      <c r="L25" s="113" t="str">
        <f t="shared" si="7"/>
        <v>UPS</v>
      </c>
      <c r="M25" s="86"/>
      <c r="N25" s="151">
        <v>6.0</v>
      </c>
      <c r="O25" s="149">
        <f>(VLOOKUP($N25, UPS!$J$10:$P$106,((VLOOKUP($D$3,Areas!$B$4:$D$200,2,FALSE))+1),FALSE))*(1+$O$6)</f>
        <v>46.88</v>
      </c>
      <c r="P25" s="149">
        <f>(VLOOKUP($N25, FedEx!$K$10:$R$96,((VLOOKUP($D$3,Areas!$B$4:$D$200,3,FALSE))+1),FALSE))*(1+$P$6)</f>
        <v>74.15</v>
      </c>
      <c r="Q25" s="147">
        <f t="shared" si="1"/>
        <v>46.88</v>
      </c>
      <c r="R25" s="113" t="str">
        <f t="shared" si="2"/>
        <v>UPS</v>
      </c>
      <c r="S25" s="28"/>
      <c r="T25" s="5"/>
      <c r="U25" s="5"/>
      <c r="V25" s="5"/>
      <c r="W25" s="5"/>
    </row>
    <row r="26" ht="14.25" customHeight="1">
      <c r="A26" s="5"/>
      <c r="B26" s="139">
        <v>6.5</v>
      </c>
      <c r="C26" s="140">
        <f>(VLOOKUP($B26,UPS!$B$10:$H$106,((VLOOKUP($D$3,Areas!$B$4:$D$200,2,FALSE))+1),FALSE))*(1+$C$6)</f>
        <v>45.77</v>
      </c>
      <c r="D26" s="140">
        <f>(VLOOKUP($B26,FedEx!$B$10:$I$96,((VLOOKUP($D$3,Areas!$B$4:$D$200,3,FALSE))+1),FALSE))*(1+$D$6)</f>
        <v>84.67</v>
      </c>
      <c r="E26" s="140">
        <f t="shared" si="3"/>
        <v>45.77</v>
      </c>
      <c r="F26" s="113" t="str">
        <f t="shared" si="4"/>
        <v>UPS</v>
      </c>
      <c r="G26" s="86"/>
      <c r="H26" s="153">
        <v>6.5</v>
      </c>
      <c r="I26" s="140">
        <f t="shared" si="5"/>
        <v>45.77</v>
      </c>
      <c r="J26" s="140">
        <f>(VLOOKUP($H26,FedEx!$T$1:$Y$96,((VLOOKUP($D$3,Areas!$B$4:$E$200,4,FALSE))+1),FALSE))*(1+$J$6)</f>
        <v>97.62</v>
      </c>
      <c r="K26" s="140">
        <f t="shared" si="6"/>
        <v>45.77</v>
      </c>
      <c r="L26" s="113" t="str">
        <f t="shared" si="7"/>
        <v>UPS</v>
      </c>
      <c r="M26" s="86"/>
      <c r="N26" s="157">
        <v>6.5</v>
      </c>
      <c r="O26" s="140">
        <f>(VLOOKUP($N26, UPS!$J$10:$P$106,((VLOOKUP($D$3,Areas!$B$4:$D$200,2,FALSE))+1),FALSE))*(1+$O$6)</f>
        <v>48.69</v>
      </c>
      <c r="P26" s="140">
        <f>(VLOOKUP($N26, FedEx!$K$10:$R$96,((VLOOKUP($D$3,Areas!$B$4:$D$200,3,FALSE))+1),FALSE))*(1+$P$6)</f>
        <v>77.1</v>
      </c>
      <c r="Q26" s="147">
        <f t="shared" si="1"/>
        <v>48.69</v>
      </c>
      <c r="R26" s="113" t="str">
        <f t="shared" si="2"/>
        <v>UPS</v>
      </c>
      <c r="S26" s="28"/>
      <c r="T26" s="5"/>
      <c r="U26" s="5"/>
      <c r="V26" s="5"/>
      <c r="W26" s="5"/>
    </row>
    <row r="27" ht="14.25" customHeight="1">
      <c r="A27" s="5"/>
      <c r="B27" s="148">
        <v>7.0</v>
      </c>
      <c r="C27" s="149">
        <f>(VLOOKUP($B27,UPS!$B$10:$H$106,((VLOOKUP($D$3,Areas!$B$4:$D$200,2,FALSE))+1),FALSE))*(1+$C$6)</f>
        <v>47.71</v>
      </c>
      <c r="D27" s="149">
        <f>(VLOOKUP($B27,FedEx!$B$10:$I$96,((VLOOKUP($D$3,Areas!$B$4:$D$200,3,FALSE))+1),FALSE))*(1+$D$6)</f>
        <v>87.83</v>
      </c>
      <c r="E27" s="149">
        <f t="shared" si="3"/>
        <v>47.71</v>
      </c>
      <c r="F27" s="113" t="str">
        <f t="shared" si="4"/>
        <v>UPS</v>
      </c>
      <c r="G27" s="86"/>
      <c r="H27" s="150">
        <v>7.0</v>
      </c>
      <c r="I27" s="149">
        <f t="shared" si="5"/>
        <v>47.71</v>
      </c>
      <c r="J27" s="149">
        <f>(VLOOKUP($H27,FedEx!$T$1:$Y$96,((VLOOKUP($D$3,Areas!$B$4:$E$200,4,FALSE))+1),FALSE))*(1+$J$6)</f>
        <v>97.62</v>
      </c>
      <c r="K27" s="149">
        <f t="shared" si="6"/>
        <v>47.71</v>
      </c>
      <c r="L27" s="113" t="str">
        <f t="shared" si="7"/>
        <v>UPS</v>
      </c>
      <c r="M27" s="86"/>
      <c r="N27" s="151">
        <v>7.0</v>
      </c>
      <c r="O27" s="149">
        <f>(VLOOKUP($N27, UPS!$J$10:$P$106,((VLOOKUP($D$3,Areas!$B$4:$D$200,2,FALSE))+1),FALSE))*(1+$O$6)</f>
        <v>50.73</v>
      </c>
      <c r="P27" s="149">
        <f>(VLOOKUP($N27, FedEx!$K$10:$R$96,((VLOOKUP($D$3,Areas!$B$4:$D$200,3,FALSE))+1),FALSE))*(1+$P$6)</f>
        <v>80.05</v>
      </c>
      <c r="Q27" s="147">
        <f t="shared" si="1"/>
        <v>50.73</v>
      </c>
      <c r="R27" s="113" t="str">
        <f t="shared" si="2"/>
        <v>UPS</v>
      </c>
      <c r="S27" s="28"/>
      <c r="T27" s="5"/>
      <c r="U27" s="5"/>
      <c r="V27" s="5"/>
      <c r="W27" s="5"/>
    </row>
    <row r="28" ht="14.25" customHeight="1">
      <c r="A28" s="5"/>
      <c r="B28" s="139">
        <v>7.5</v>
      </c>
      <c r="C28" s="140">
        <f>(VLOOKUP($B28,UPS!$B$10:$H$106,((VLOOKUP($D$3,Areas!$B$4:$D$200,2,FALSE))+1),FALSE))*(1+$C$6)</f>
        <v>49.87</v>
      </c>
      <c r="D28" s="140">
        <f>(VLOOKUP($B28,FedEx!$B$10:$I$96,((VLOOKUP($D$3,Areas!$B$4:$D$200,3,FALSE))+1),FALSE))*(1+$D$6)</f>
        <v>90.99</v>
      </c>
      <c r="E28" s="140">
        <f t="shared" si="3"/>
        <v>49.87</v>
      </c>
      <c r="F28" s="113" t="str">
        <f t="shared" si="4"/>
        <v>UPS</v>
      </c>
      <c r="G28" s="86"/>
      <c r="H28" s="153">
        <v>7.5</v>
      </c>
      <c r="I28" s="140">
        <f t="shared" si="5"/>
        <v>49.87</v>
      </c>
      <c r="J28" s="140">
        <f>(VLOOKUP($H28,FedEx!$T$1:$Y$96,((VLOOKUP($D$3,Areas!$B$4:$E$200,4,FALSE))+1),FALSE))*(1+$J$6)</f>
        <v>97.62</v>
      </c>
      <c r="K28" s="140">
        <f t="shared" si="6"/>
        <v>49.87</v>
      </c>
      <c r="L28" s="113" t="str">
        <f t="shared" si="7"/>
        <v>UPS</v>
      </c>
      <c r="M28" s="86"/>
      <c r="N28" s="157">
        <v>7.5</v>
      </c>
      <c r="O28" s="140">
        <f>(VLOOKUP($N28, UPS!$J$10:$P$106,((VLOOKUP($D$3,Areas!$B$4:$D$200,2,FALSE))+1),FALSE))*(1+$O$6)</f>
        <v>53.05</v>
      </c>
      <c r="P28" s="140">
        <f>(VLOOKUP($N28, FedEx!$K$10:$R$96,((VLOOKUP($D$3,Areas!$B$4:$D$200,3,FALSE))+1),FALSE))*(1+$P$6)</f>
        <v>82.99</v>
      </c>
      <c r="Q28" s="147">
        <f t="shared" si="1"/>
        <v>53.05</v>
      </c>
      <c r="R28" s="113" t="str">
        <f t="shared" si="2"/>
        <v>UPS</v>
      </c>
      <c r="S28" s="28"/>
      <c r="T28" s="5"/>
      <c r="U28" s="5"/>
      <c r="V28" s="5"/>
      <c r="W28" s="5"/>
    </row>
    <row r="29" ht="14.25" customHeight="1">
      <c r="A29" s="5"/>
      <c r="B29" s="148">
        <v>8.0</v>
      </c>
      <c r="C29" s="149">
        <f>(VLOOKUP($B29,UPS!$B$10:$H$106,((VLOOKUP($D$3,Areas!$B$4:$D$200,2,FALSE))+1),FALSE))*(1+$C$6)</f>
        <v>51.75</v>
      </c>
      <c r="D29" s="149">
        <f>(VLOOKUP($B29,FedEx!$B$10:$I$96,((VLOOKUP($D$3,Areas!$B$4:$D$200,3,FALSE))+1),FALSE))*(1+$D$6)</f>
        <v>94.15</v>
      </c>
      <c r="E29" s="149">
        <f t="shared" si="3"/>
        <v>51.75</v>
      </c>
      <c r="F29" s="113" t="str">
        <f t="shared" si="4"/>
        <v>UPS</v>
      </c>
      <c r="G29" s="86"/>
      <c r="H29" s="150">
        <v>8.0</v>
      </c>
      <c r="I29" s="149">
        <f t="shared" si="5"/>
        <v>51.75</v>
      </c>
      <c r="J29" s="149">
        <f>(VLOOKUP($H29,FedEx!$T$1:$Y$96,((VLOOKUP($D$3,Areas!$B$4:$E$200,4,FALSE))+1),FALSE))*(1+$J$6)</f>
        <v>97.62</v>
      </c>
      <c r="K29" s="149">
        <f t="shared" si="6"/>
        <v>51.75</v>
      </c>
      <c r="L29" s="113" t="str">
        <f t="shared" si="7"/>
        <v>UPS</v>
      </c>
      <c r="M29" s="86"/>
      <c r="N29" s="151">
        <v>8.0</v>
      </c>
      <c r="O29" s="149">
        <f>(VLOOKUP($N29, UPS!$J$10:$P$106,((VLOOKUP($D$3,Areas!$B$4:$D$200,2,FALSE))+1),FALSE))*(1+$O$6)</f>
        <v>55.03</v>
      </c>
      <c r="P29" s="149">
        <f>(VLOOKUP($N29, FedEx!$K$10:$R$96,((VLOOKUP($D$3,Areas!$B$4:$D$200,3,FALSE))+1),FALSE))*(1+$P$6)</f>
        <v>85.94</v>
      </c>
      <c r="Q29" s="147">
        <f t="shared" si="1"/>
        <v>55.03</v>
      </c>
      <c r="R29" s="113" t="str">
        <f t="shared" si="2"/>
        <v>UPS</v>
      </c>
      <c r="S29" s="28"/>
      <c r="T29" s="5"/>
      <c r="U29" s="5"/>
      <c r="V29" s="5"/>
      <c r="W29" s="5"/>
    </row>
    <row r="30" ht="14.25" customHeight="1">
      <c r="A30" s="5"/>
      <c r="B30" s="139">
        <v>8.5</v>
      </c>
      <c r="C30" s="140">
        <f>(VLOOKUP($B30,UPS!$B$10:$H$106,((VLOOKUP($D$3,Areas!$B$4:$D$200,2,FALSE))+1),FALSE))*(1+$C$6)</f>
        <v>53.53</v>
      </c>
      <c r="D30" s="140">
        <f>(VLOOKUP($B30,FedEx!$B$10:$I$96,((VLOOKUP($D$3,Areas!$B$4:$D$200,3,FALSE))+1),FALSE))*(1+$D$6)</f>
        <v>97.3</v>
      </c>
      <c r="E30" s="140">
        <f t="shared" si="3"/>
        <v>53.53</v>
      </c>
      <c r="F30" s="113" t="str">
        <f t="shared" si="4"/>
        <v>UPS</v>
      </c>
      <c r="G30" s="86"/>
      <c r="H30" s="153">
        <v>8.5</v>
      </c>
      <c r="I30" s="140">
        <f t="shared" si="5"/>
        <v>53.53</v>
      </c>
      <c r="J30" s="140">
        <f>(VLOOKUP($H30,FedEx!$T$1:$Y$96,((VLOOKUP($D$3,Areas!$B$4:$E$200,4,FALSE))+1),FALSE))*(1+$J$6)</f>
        <v>97.62</v>
      </c>
      <c r="K30" s="140">
        <f t="shared" si="6"/>
        <v>53.53</v>
      </c>
      <c r="L30" s="113" t="str">
        <f t="shared" si="7"/>
        <v>UPS</v>
      </c>
      <c r="M30" s="86"/>
      <c r="N30" s="157">
        <v>8.5</v>
      </c>
      <c r="O30" s="140">
        <f>(VLOOKUP($N30, UPS!$J$10:$P$106,((VLOOKUP($D$3,Areas!$B$4:$D$200,2,FALSE))+1),FALSE))*(1+$O$6)</f>
        <v>56.98</v>
      </c>
      <c r="P30" s="140">
        <f>(VLOOKUP($N30, FedEx!$K$10:$R$96,((VLOOKUP($D$3,Areas!$B$4:$D$200,3,FALSE))+1),FALSE))*(1+$P$6)</f>
        <v>88.89</v>
      </c>
      <c r="Q30" s="147">
        <f t="shared" si="1"/>
        <v>56.98</v>
      </c>
      <c r="R30" s="113" t="str">
        <f t="shared" si="2"/>
        <v>UPS</v>
      </c>
      <c r="S30" s="28"/>
      <c r="T30" s="5"/>
      <c r="U30" s="5"/>
      <c r="V30" s="5"/>
      <c r="W30" s="5"/>
    </row>
    <row r="31" ht="14.25" customHeight="1">
      <c r="A31" s="5"/>
      <c r="B31" s="148">
        <v>9.0</v>
      </c>
      <c r="C31" s="149">
        <f>(VLOOKUP($B31,UPS!$B$10:$H$106,((VLOOKUP($D$3,Areas!$B$4:$D$200,2,FALSE))+1),FALSE))*(1+$C$6)</f>
        <v>55.38</v>
      </c>
      <c r="D31" s="149">
        <f>(VLOOKUP($B31,FedEx!$B$10:$I$96,((VLOOKUP($D$3,Areas!$B$4:$D$200,3,FALSE))+1),FALSE))*(1+$D$6)</f>
        <v>100.46</v>
      </c>
      <c r="E31" s="149">
        <f t="shared" si="3"/>
        <v>55.38</v>
      </c>
      <c r="F31" s="113" t="str">
        <f t="shared" si="4"/>
        <v>UPS</v>
      </c>
      <c r="G31" s="86"/>
      <c r="H31" s="150">
        <v>9.0</v>
      </c>
      <c r="I31" s="149">
        <f t="shared" si="5"/>
        <v>55.38</v>
      </c>
      <c r="J31" s="149">
        <f>(VLOOKUP($H31,FedEx!$T$1:$Y$96,((VLOOKUP($D$3,Areas!$B$4:$E$200,4,FALSE))+1),FALSE))*(1+$J$6)</f>
        <v>97.62</v>
      </c>
      <c r="K31" s="149">
        <f t="shared" si="6"/>
        <v>55.38</v>
      </c>
      <c r="L31" s="113" t="str">
        <f t="shared" si="7"/>
        <v>UPS</v>
      </c>
      <c r="M31" s="86"/>
      <c r="N31" s="151">
        <v>9.0</v>
      </c>
      <c r="O31" s="149">
        <f>(VLOOKUP($N31, UPS!$J$10:$P$106,((VLOOKUP($D$3,Areas!$B$4:$D$200,2,FALSE))+1),FALSE))*(1+$O$6)</f>
        <v>58.93</v>
      </c>
      <c r="P31" s="149">
        <f>(VLOOKUP($N31, FedEx!$K$10:$R$96,((VLOOKUP($D$3,Areas!$B$4:$D$200,3,FALSE))+1),FALSE))*(1+$P$6)</f>
        <v>91.84</v>
      </c>
      <c r="Q31" s="147">
        <f t="shared" si="1"/>
        <v>58.93</v>
      </c>
      <c r="R31" s="113" t="str">
        <f t="shared" si="2"/>
        <v>UPS</v>
      </c>
      <c r="S31" s="28"/>
      <c r="T31" s="5"/>
      <c r="U31" s="5"/>
      <c r="V31" s="5"/>
      <c r="W31" s="5"/>
    </row>
    <row r="32" ht="14.25" customHeight="1">
      <c r="A32" s="5"/>
      <c r="B32" s="139">
        <v>9.5</v>
      </c>
      <c r="C32" s="140">
        <f>(VLOOKUP($B32,UPS!$B$10:$H$106,((VLOOKUP($D$3,Areas!$B$4:$D$200,2,FALSE))+1),FALSE))*(1+$C$6)</f>
        <v>57.12</v>
      </c>
      <c r="D32" s="140">
        <f>(VLOOKUP($B32,FedEx!$B$10:$I$96,((VLOOKUP($D$3,Areas!$B$4:$D$200,3,FALSE))+1),FALSE))*(1+$D$6)</f>
        <v>103.62</v>
      </c>
      <c r="E32" s="140">
        <f t="shared" si="3"/>
        <v>57.12</v>
      </c>
      <c r="F32" s="113" t="str">
        <f t="shared" si="4"/>
        <v>UPS</v>
      </c>
      <c r="G32" s="86"/>
      <c r="H32" s="153">
        <v>9.5</v>
      </c>
      <c r="I32" s="140">
        <f t="shared" si="5"/>
        <v>57.12</v>
      </c>
      <c r="J32" s="140">
        <f>(VLOOKUP($H32,FedEx!$T$1:$Y$96,((VLOOKUP($D$3,Areas!$B$4:$E$200,4,FALSE))+1),FALSE))*(1+$J$6)</f>
        <v>97.62</v>
      </c>
      <c r="K32" s="140">
        <f t="shared" si="6"/>
        <v>57.12</v>
      </c>
      <c r="L32" s="113" t="str">
        <f t="shared" si="7"/>
        <v>UPS</v>
      </c>
      <c r="M32" s="86"/>
      <c r="N32" s="157">
        <v>9.5</v>
      </c>
      <c r="O32" s="140">
        <f>(VLOOKUP($N32, UPS!$J$10:$P$106,((VLOOKUP($D$3,Areas!$B$4:$D$200,2,FALSE))+1),FALSE))*(1+$O$6)</f>
        <v>60.78</v>
      </c>
      <c r="P32" s="140">
        <f>(VLOOKUP($N32, FedEx!$K$10:$R$96,((VLOOKUP($D$3,Areas!$B$4:$D$200,3,FALSE))+1),FALSE))*(1+$P$6)</f>
        <v>94.79</v>
      </c>
      <c r="Q32" s="147">
        <f t="shared" si="1"/>
        <v>60.78</v>
      </c>
      <c r="R32" s="113" t="str">
        <f t="shared" si="2"/>
        <v>UPS</v>
      </c>
      <c r="S32" s="28"/>
      <c r="T32" s="5"/>
      <c r="U32" s="5"/>
      <c r="V32" s="5"/>
      <c r="W32" s="5"/>
    </row>
    <row r="33" ht="14.25" customHeight="1">
      <c r="A33" s="5"/>
      <c r="B33" s="148">
        <v>10.0</v>
      </c>
      <c r="C33" s="149">
        <f>(VLOOKUP($B33,UPS!$B$10:$H$106,((VLOOKUP($D$3,Areas!$B$4:$D$200,2,FALSE))+1),FALSE))*(1+$C$6)</f>
        <v>58.86</v>
      </c>
      <c r="D33" s="149">
        <f>(VLOOKUP($B33,FedEx!$B$10:$I$96,((VLOOKUP($D$3,Areas!$B$4:$D$200,3,FALSE))+1),FALSE))*(1+$D$6)</f>
        <v>106.78</v>
      </c>
      <c r="E33" s="149">
        <f t="shared" si="3"/>
        <v>58.86</v>
      </c>
      <c r="F33" s="113" t="str">
        <f t="shared" si="4"/>
        <v>UPS</v>
      </c>
      <c r="G33" s="86"/>
      <c r="H33" s="150">
        <v>10.0</v>
      </c>
      <c r="I33" s="149">
        <f t="shared" si="5"/>
        <v>58.86</v>
      </c>
      <c r="J33" s="149">
        <f>(VLOOKUP($H33,FedEx!$T$1:$Y$96,((VLOOKUP($D$3,Areas!$B$4:$E$200,4,FALSE))+1),FALSE))*(1+$J$6)</f>
        <v>97.62</v>
      </c>
      <c r="K33" s="149">
        <f t="shared" si="6"/>
        <v>58.86</v>
      </c>
      <c r="L33" s="113" t="str">
        <f t="shared" si="7"/>
        <v>UPS</v>
      </c>
      <c r="M33" s="86"/>
      <c r="N33" s="151">
        <v>10.0</v>
      </c>
      <c r="O33" s="149">
        <f>(VLOOKUP($N33, UPS!$J$10:$P$106,((VLOOKUP($D$3,Areas!$B$4:$D$200,2,FALSE))+1),FALSE))*(1+$O$6)</f>
        <v>62.61</v>
      </c>
      <c r="P33" s="149">
        <f>(VLOOKUP($N33, FedEx!$K$10:$R$96,((VLOOKUP($D$3,Areas!$B$4:$D$200,3,FALSE))+1),FALSE))*(1+$P$6)</f>
        <v>97.73</v>
      </c>
      <c r="Q33" s="147">
        <f t="shared" si="1"/>
        <v>62.61</v>
      </c>
      <c r="R33" s="113" t="str">
        <f t="shared" si="2"/>
        <v>UPS</v>
      </c>
      <c r="S33" s="28"/>
      <c r="T33" s="5"/>
      <c r="U33" s="5"/>
      <c r="V33" s="5"/>
      <c r="W33" s="5"/>
    </row>
    <row r="34" ht="14.25" customHeight="1">
      <c r="A34" s="5"/>
      <c r="B34" s="139">
        <v>10.5</v>
      </c>
      <c r="C34" s="140">
        <f>(VLOOKUP($B34,UPS!$B$10:$H$106,((VLOOKUP($D$3,Areas!$B$4:$D$200,2,FALSE))+1),FALSE))*(1+$C$6)</f>
        <v>60.8</v>
      </c>
      <c r="D34" s="140">
        <f>(VLOOKUP($B34,FedEx!$B$10:$I$96,((VLOOKUP($D$3,Areas!$B$4:$D$200,3,FALSE))+1),FALSE))*(1+$D$6)</f>
        <v>118.12</v>
      </c>
      <c r="E34" s="140">
        <f t="shared" si="3"/>
        <v>60.8</v>
      </c>
      <c r="F34" s="113" t="str">
        <f t="shared" si="4"/>
        <v>UPS</v>
      </c>
      <c r="G34" s="86"/>
      <c r="H34" s="153">
        <v>10.5</v>
      </c>
      <c r="I34" s="140">
        <f t="shared" si="5"/>
        <v>60.8</v>
      </c>
      <c r="J34" s="140">
        <f>(VLOOKUP($H34,FedEx!$T$1:$Y$96,((VLOOKUP($D$3,Areas!$B$4:$E$200,4,FALSE))+1),FALSE))*(1+$J$6)</f>
        <v>136.12</v>
      </c>
      <c r="K34" s="140">
        <f t="shared" si="6"/>
        <v>60.8</v>
      </c>
      <c r="L34" s="113" t="str">
        <f t="shared" si="7"/>
        <v>UPS</v>
      </c>
      <c r="M34" s="86"/>
      <c r="N34" s="157">
        <v>10.5</v>
      </c>
      <c r="O34" s="140">
        <f>(VLOOKUP($N34, UPS!$J$10:$P$106,((VLOOKUP($D$3,Areas!$B$4:$D$200,2,FALSE))+1),FALSE))*(1+$O$6)</f>
        <v>64.68</v>
      </c>
      <c r="P34" s="140">
        <f>(VLOOKUP($N34, FedEx!$K$10:$R$96,((VLOOKUP($D$3,Areas!$B$4:$D$200,3,FALSE))+1),FALSE))*(1+$P$6)</f>
        <v>109.52</v>
      </c>
      <c r="Q34" s="147">
        <f t="shared" si="1"/>
        <v>64.68</v>
      </c>
      <c r="R34" s="113" t="str">
        <f t="shared" si="2"/>
        <v>UPS</v>
      </c>
      <c r="S34" s="28"/>
      <c r="T34" s="5"/>
      <c r="U34" s="5"/>
      <c r="V34" s="5"/>
      <c r="W34" s="5"/>
    </row>
    <row r="35" ht="14.25" customHeight="1">
      <c r="A35" s="5"/>
      <c r="B35" s="148">
        <v>11.0</v>
      </c>
      <c r="C35" s="149">
        <f>(VLOOKUP($B35,UPS!$B$10:$H$106,((VLOOKUP($D$3,Areas!$B$4:$D$200,2,FALSE))+1),FALSE))*(1+$C$6)</f>
        <v>61.84</v>
      </c>
      <c r="D35" s="149">
        <f>(VLOOKUP($B35,FedEx!$B$10:$I$96,((VLOOKUP($D$3,Areas!$B$4:$D$200,3,FALSE))+1),FALSE))*(1+$D$6)</f>
        <v>121.24</v>
      </c>
      <c r="E35" s="149">
        <f t="shared" si="3"/>
        <v>61.84</v>
      </c>
      <c r="F35" s="113" t="str">
        <f t="shared" si="4"/>
        <v>UPS</v>
      </c>
      <c r="G35" s="86"/>
      <c r="H35" s="150">
        <v>11.0</v>
      </c>
      <c r="I35" s="149">
        <f t="shared" si="5"/>
        <v>61.84</v>
      </c>
      <c r="J35" s="149">
        <f>(VLOOKUP($H35,FedEx!$T$1:$Y$96,((VLOOKUP($D$3,Areas!$B$4:$E$200,4,FALSE))+1),FALSE))*(1+$J$6)</f>
        <v>136.12</v>
      </c>
      <c r="K35" s="149">
        <f t="shared" si="6"/>
        <v>61.84</v>
      </c>
      <c r="L35" s="113" t="str">
        <f t="shared" si="7"/>
        <v>UPS</v>
      </c>
      <c r="M35" s="86"/>
      <c r="N35" s="151">
        <v>11.0</v>
      </c>
      <c r="O35" s="149">
        <f>(VLOOKUP($N35, UPS!$J$10:$P$106,((VLOOKUP($D$3,Areas!$B$4:$D$200,2,FALSE))+1),FALSE))*(1+$O$6)</f>
        <v>65.79</v>
      </c>
      <c r="P35" s="149">
        <f>(VLOOKUP($N35, FedEx!$K$10:$R$96,((VLOOKUP($D$3,Areas!$B$4:$D$200,3,FALSE))+1),FALSE))*(1+$P$6)</f>
        <v>112.43</v>
      </c>
      <c r="Q35" s="147">
        <f t="shared" si="1"/>
        <v>65.79</v>
      </c>
      <c r="R35" s="113" t="str">
        <f t="shared" si="2"/>
        <v>UPS</v>
      </c>
      <c r="S35" s="28"/>
      <c r="T35" s="5"/>
      <c r="U35" s="5"/>
      <c r="V35" s="5"/>
      <c r="W35" s="5"/>
    </row>
    <row r="36" ht="14.25" customHeight="1">
      <c r="A36" s="5"/>
      <c r="B36" s="139">
        <v>11.5</v>
      </c>
      <c r="C36" s="140">
        <f>(VLOOKUP($B36,UPS!$B$10:$H$106,((VLOOKUP($D$3,Areas!$B$4:$D$200,2,FALSE))+1),FALSE))*(1+$C$6)</f>
        <v>64.04</v>
      </c>
      <c r="D36" s="140">
        <f>(VLOOKUP($B36,FedEx!$B$10:$I$96,((VLOOKUP($D$3,Areas!$B$4:$D$200,3,FALSE))+1),FALSE))*(1+$D$6)</f>
        <v>124.36</v>
      </c>
      <c r="E36" s="140">
        <f t="shared" si="3"/>
        <v>64.04</v>
      </c>
      <c r="F36" s="113" t="str">
        <f t="shared" si="4"/>
        <v>UPS</v>
      </c>
      <c r="G36" s="86"/>
      <c r="H36" s="153">
        <v>11.5</v>
      </c>
      <c r="I36" s="140">
        <f t="shared" si="5"/>
        <v>64.04</v>
      </c>
      <c r="J36" s="140">
        <f>(VLOOKUP($H36,FedEx!$T$1:$Y$96,((VLOOKUP($D$3,Areas!$B$4:$E$200,4,FALSE))+1),FALSE))*(1+$J$6)</f>
        <v>136.12</v>
      </c>
      <c r="K36" s="140">
        <f t="shared" si="6"/>
        <v>64.04</v>
      </c>
      <c r="L36" s="113" t="str">
        <f t="shared" si="7"/>
        <v>UPS</v>
      </c>
      <c r="M36" s="86"/>
      <c r="N36" s="157">
        <v>11.5</v>
      </c>
      <c r="O36" s="140">
        <f>(VLOOKUP($N36, UPS!$J$10:$P$106,((VLOOKUP($D$3,Areas!$B$4:$D$200,2,FALSE))+1),FALSE))*(1+$O$6)</f>
        <v>68.09</v>
      </c>
      <c r="P36" s="140">
        <f>(VLOOKUP($N36, FedEx!$K$10:$R$96,((VLOOKUP($D$3,Areas!$B$4:$D$200,3,FALSE))+1),FALSE))*(1+$P$6)</f>
        <v>115.33</v>
      </c>
      <c r="Q36" s="147">
        <f t="shared" si="1"/>
        <v>68.09</v>
      </c>
      <c r="R36" s="113" t="str">
        <f t="shared" si="2"/>
        <v>UPS</v>
      </c>
      <c r="S36" s="28"/>
      <c r="T36" s="5"/>
      <c r="U36" s="5"/>
      <c r="V36" s="5"/>
      <c r="W36" s="5"/>
    </row>
    <row r="37" ht="14.25" customHeight="1">
      <c r="A37" s="5"/>
      <c r="B37" s="148">
        <v>12.0</v>
      </c>
      <c r="C37" s="149">
        <f>(VLOOKUP($B37,UPS!$B$10:$H$106,((VLOOKUP($D$3,Areas!$B$4:$D$200,2,FALSE))+1),FALSE))*(1+$C$6)</f>
        <v>65.03</v>
      </c>
      <c r="D37" s="149">
        <f>(VLOOKUP($B37,FedEx!$B$10:$I$96,((VLOOKUP($D$3,Areas!$B$4:$D$200,3,FALSE))+1),FALSE))*(1+$D$6)</f>
        <v>127.48</v>
      </c>
      <c r="E37" s="149">
        <f t="shared" si="3"/>
        <v>65.03</v>
      </c>
      <c r="F37" s="113" t="str">
        <f t="shared" si="4"/>
        <v>UPS</v>
      </c>
      <c r="G37" s="86"/>
      <c r="H37" s="150">
        <v>12.0</v>
      </c>
      <c r="I37" s="149">
        <f t="shared" si="5"/>
        <v>65.03</v>
      </c>
      <c r="J37" s="149">
        <f>(VLOOKUP($H37,FedEx!$T$1:$Y$96,((VLOOKUP($D$3,Areas!$B$4:$E$200,4,FALSE))+1),FALSE))*(1+$J$6)</f>
        <v>136.12</v>
      </c>
      <c r="K37" s="149">
        <f t="shared" si="6"/>
        <v>65.03</v>
      </c>
      <c r="L37" s="113" t="str">
        <f t="shared" si="7"/>
        <v>UPS</v>
      </c>
      <c r="M37" s="86"/>
      <c r="N37" s="151">
        <v>12.0</v>
      </c>
      <c r="O37" s="149">
        <f>(VLOOKUP($N37, UPS!$J$10:$P$106,((VLOOKUP($D$3,Areas!$B$4:$D$200,2,FALSE))+1),FALSE))*(1+$O$6)</f>
        <v>69.17</v>
      </c>
      <c r="P37" s="149">
        <f>(VLOOKUP($N37, FedEx!$K$10:$R$96,((VLOOKUP($D$3,Areas!$B$4:$D$200,3,FALSE))+1),FALSE))*(1+$P$6)</f>
        <v>118.24</v>
      </c>
      <c r="Q37" s="147">
        <f t="shared" si="1"/>
        <v>69.17</v>
      </c>
      <c r="R37" s="113" t="str">
        <f t="shared" si="2"/>
        <v>UPS</v>
      </c>
      <c r="S37" s="28"/>
      <c r="T37" s="5"/>
      <c r="U37" s="5"/>
      <c r="V37" s="5"/>
      <c r="W37" s="5"/>
    </row>
    <row r="38" ht="14.25" customHeight="1">
      <c r="A38" s="5"/>
      <c r="B38" s="139">
        <v>12.5</v>
      </c>
      <c r="C38" s="140">
        <f>(VLOOKUP($B38,UPS!$B$10:$H$106,((VLOOKUP($D$3,Areas!$B$4:$D$200,2,FALSE))+1),FALSE))*(1+$C$6)</f>
        <v>67.21</v>
      </c>
      <c r="D38" s="140">
        <f>(VLOOKUP($B38,FedEx!$B$10:$I$96,((VLOOKUP($D$3,Areas!$B$4:$D$200,3,FALSE))+1),FALSE))*(1+$D$6)</f>
        <v>130.61</v>
      </c>
      <c r="E38" s="140">
        <f t="shared" si="3"/>
        <v>67.21</v>
      </c>
      <c r="F38" s="113" t="str">
        <f t="shared" si="4"/>
        <v>UPS</v>
      </c>
      <c r="G38" s="86"/>
      <c r="H38" s="153">
        <v>12.5</v>
      </c>
      <c r="I38" s="140">
        <f t="shared" si="5"/>
        <v>67.21</v>
      </c>
      <c r="J38" s="140">
        <f>(VLOOKUP($H38,FedEx!$T$1:$Y$96,((VLOOKUP($D$3,Areas!$B$4:$E$200,4,FALSE))+1),FALSE))*(1+$J$6)</f>
        <v>136.12</v>
      </c>
      <c r="K38" s="140">
        <f t="shared" si="6"/>
        <v>67.21</v>
      </c>
      <c r="L38" s="113" t="str">
        <f t="shared" si="7"/>
        <v>UPS</v>
      </c>
      <c r="M38" s="86"/>
      <c r="N38" s="157">
        <v>12.5</v>
      </c>
      <c r="O38" s="140">
        <f>(VLOOKUP($N38, UPS!$J$10:$P$106,((VLOOKUP($D$3,Areas!$B$4:$D$200,2,FALSE))+1),FALSE))*(1+$O$6)</f>
        <v>71.5</v>
      </c>
      <c r="P38" s="140">
        <f>(VLOOKUP($N38, FedEx!$K$10:$R$96,((VLOOKUP($D$3,Areas!$B$4:$D$200,3,FALSE))+1),FALSE))*(1+$P$6)</f>
        <v>121.14</v>
      </c>
      <c r="Q38" s="147">
        <f t="shared" si="1"/>
        <v>71.5</v>
      </c>
      <c r="R38" s="113" t="str">
        <f t="shared" si="2"/>
        <v>UPS</v>
      </c>
      <c r="S38" s="28"/>
      <c r="T38" s="5"/>
      <c r="U38" s="5"/>
      <c r="V38" s="5"/>
      <c r="W38" s="5"/>
    </row>
    <row r="39" ht="14.25" customHeight="1">
      <c r="A39" s="5"/>
      <c r="B39" s="148">
        <v>13.0</v>
      </c>
      <c r="C39" s="149">
        <f>(VLOOKUP($B39,UPS!$B$10:$H$106,((VLOOKUP($D$3,Areas!$B$4:$D$200,2,FALSE))+1),FALSE))*(1+$C$6)</f>
        <v>68.5</v>
      </c>
      <c r="D39" s="149">
        <f>(VLOOKUP($B39,FedEx!$B$10:$I$96,((VLOOKUP($D$3,Areas!$B$4:$D$200,3,FALSE))+1),FALSE))*(1+$D$6)</f>
        <v>133.73</v>
      </c>
      <c r="E39" s="149">
        <f t="shared" si="3"/>
        <v>68.5</v>
      </c>
      <c r="F39" s="113" t="str">
        <f t="shared" si="4"/>
        <v>UPS</v>
      </c>
      <c r="G39" s="86"/>
      <c r="H39" s="150">
        <v>13.0</v>
      </c>
      <c r="I39" s="149">
        <f t="shared" si="5"/>
        <v>68.5</v>
      </c>
      <c r="J39" s="149">
        <f>(VLOOKUP($H39,FedEx!$T$1:$Y$96,((VLOOKUP($D$3,Areas!$B$4:$E$200,4,FALSE))+1),FALSE))*(1+$J$6)</f>
        <v>136.12</v>
      </c>
      <c r="K39" s="149">
        <f t="shared" si="6"/>
        <v>68.5</v>
      </c>
      <c r="L39" s="113" t="str">
        <f t="shared" si="7"/>
        <v>UPS</v>
      </c>
      <c r="M39" s="86"/>
      <c r="N39" s="151">
        <v>13.0</v>
      </c>
      <c r="O39" s="149">
        <f>(VLOOKUP($N39, UPS!$J$10:$P$106,((VLOOKUP($D$3,Areas!$B$4:$D$200,2,FALSE))+1),FALSE))*(1+$O$6)</f>
        <v>72.89</v>
      </c>
      <c r="P39" s="149">
        <f>(VLOOKUP($N39, FedEx!$K$10:$R$96,((VLOOKUP($D$3,Areas!$B$4:$D$200,3,FALSE))+1),FALSE))*(1+$P$6)</f>
        <v>124.04</v>
      </c>
      <c r="Q39" s="147">
        <f t="shared" si="1"/>
        <v>72.89</v>
      </c>
      <c r="R39" s="113" t="str">
        <f t="shared" si="2"/>
        <v>UPS</v>
      </c>
      <c r="S39" s="28"/>
      <c r="T39" s="5"/>
      <c r="U39" s="5"/>
      <c r="V39" s="5"/>
      <c r="W39" s="5"/>
    </row>
    <row r="40" ht="14.25" customHeight="1">
      <c r="A40" s="5"/>
      <c r="B40" s="139">
        <v>13.5</v>
      </c>
      <c r="C40" s="140">
        <f>(VLOOKUP($B40,UPS!$B$10:$H$106,((VLOOKUP($D$3,Areas!$B$4:$D$200,2,FALSE))+1),FALSE))*(1+$C$6)</f>
        <v>70.47</v>
      </c>
      <c r="D40" s="140">
        <f>(VLOOKUP($B40,FedEx!$B$10:$I$96,((VLOOKUP($D$3,Areas!$B$4:$D$200,3,FALSE))+1),FALSE))*(1+$D$6)</f>
        <v>136.85</v>
      </c>
      <c r="E40" s="140">
        <f t="shared" si="3"/>
        <v>70.47</v>
      </c>
      <c r="F40" s="113" t="str">
        <f t="shared" si="4"/>
        <v>UPS</v>
      </c>
      <c r="G40" s="86"/>
      <c r="H40" s="153">
        <v>13.5</v>
      </c>
      <c r="I40" s="140">
        <f t="shared" si="5"/>
        <v>70.47</v>
      </c>
      <c r="J40" s="140">
        <f>(VLOOKUP($H40,FedEx!$T$1:$Y$96,((VLOOKUP($D$3,Areas!$B$4:$E$200,4,FALSE))+1),FALSE))*(1+$J$6)</f>
        <v>136.12</v>
      </c>
      <c r="K40" s="140">
        <f t="shared" si="6"/>
        <v>70.47</v>
      </c>
      <c r="L40" s="113" t="str">
        <f t="shared" si="7"/>
        <v>UPS</v>
      </c>
      <c r="M40" s="86"/>
      <c r="N40" s="157">
        <v>13.5</v>
      </c>
      <c r="O40" s="140">
        <f>(VLOOKUP($N40, UPS!$J$10:$P$106,((VLOOKUP($D$3,Areas!$B$4:$D$200,2,FALSE))+1),FALSE))*(1+$O$6)</f>
        <v>75.01</v>
      </c>
      <c r="P40" s="140">
        <f>(VLOOKUP($N40, FedEx!$K$10:$R$96,((VLOOKUP($D$3,Areas!$B$4:$D$200,3,FALSE))+1),FALSE))*(1+$P$6)</f>
        <v>126.95</v>
      </c>
      <c r="Q40" s="147">
        <f t="shared" si="1"/>
        <v>75.01</v>
      </c>
      <c r="R40" s="113" t="str">
        <f t="shared" si="2"/>
        <v>UPS</v>
      </c>
      <c r="S40" s="28"/>
      <c r="T40" s="5"/>
      <c r="U40" s="5"/>
      <c r="V40" s="5"/>
      <c r="W40" s="5"/>
    </row>
    <row r="41" ht="14.25" customHeight="1">
      <c r="A41" s="5"/>
      <c r="B41" s="148">
        <v>14.0</v>
      </c>
      <c r="C41" s="149">
        <f>(VLOOKUP($B41,UPS!$B$10:$H$106,((VLOOKUP($D$3,Areas!$B$4:$D$200,2,FALSE))+1),FALSE))*(1+$C$6)</f>
        <v>71.42</v>
      </c>
      <c r="D41" s="149">
        <f>(VLOOKUP($B41,FedEx!$B$10:$I$96,((VLOOKUP($D$3,Areas!$B$4:$D$200,3,FALSE))+1),FALSE))*(1+$D$6)</f>
        <v>139.97</v>
      </c>
      <c r="E41" s="149">
        <f t="shared" si="3"/>
        <v>71.42</v>
      </c>
      <c r="F41" s="113" t="str">
        <f t="shared" si="4"/>
        <v>UPS</v>
      </c>
      <c r="G41" s="86"/>
      <c r="H41" s="150">
        <v>14.0</v>
      </c>
      <c r="I41" s="149">
        <f t="shared" si="5"/>
        <v>71.42</v>
      </c>
      <c r="J41" s="149">
        <f>(VLOOKUP($H41,FedEx!$T$1:$Y$96,((VLOOKUP($D$3,Areas!$B$4:$E$200,4,FALSE))+1),FALSE))*(1+$J$6)</f>
        <v>136.12</v>
      </c>
      <c r="K41" s="149">
        <f t="shared" si="6"/>
        <v>71.42</v>
      </c>
      <c r="L41" s="113" t="str">
        <f t="shared" si="7"/>
        <v>UPS</v>
      </c>
      <c r="M41" s="86"/>
      <c r="N41" s="151">
        <v>14.0</v>
      </c>
      <c r="O41" s="149">
        <f>(VLOOKUP($N41, UPS!$J$10:$P$106,((VLOOKUP($D$3,Areas!$B$4:$D$200,2,FALSE))+1),FALSE))*(1+$O$6)</f>
        <v>76.01</v>
      </c>
      <c r="P41" s="149">
        <f>(VLOOKUP($N41, FedEx!$K$10:$R$96,((VLOOKUP($D$3,Areas!$B$4:$D$200,3,FALSE))+1),FALSE))*(1+$P$6)</f>
        <v>129.85</v>
      </c>
      <c r="Q41" s="147">
        <f t="shared" si="1"/>
        <v>76.01</v>
      </c>
      <c r="R41" s="113" t="str">
        <f t="shared" si="2"/>
        <v>UPS</v>
      </c>
      <c r="S41" s="28"/>
      <c r="T41" s="5"/>
      <c r="U41" s="5"/>
      <c r="V41" s="5"/>
      <c r="W41" s="5"/>
    </row>
    <row r="42" ht="14.25" customHeight="1">
      <c r="A42" s="5"/>
      <c r="B42" s="139">
        <v>14.5</v>
      </c>
      <c r="C42" s="140">
        <f>(VLOOKUP($B42,UPS!$B$10:$H$106,((VLOOKUP($D$3,Areas!$B$4:$D$200,2,FALSE))+1),FALSE))*(1+$C$6)</f>
        <v>73.61</v>
      </c>
      <c r="D42" s="140">
        <f>(VLOOKUP($B42,FedEx!$B$10:$I$96,((VLOOKUP($D$3,Areas!$B$4:$D$200,3,FALSE))+1),FALSE))*(1+$D$6)</f>
        <v>143.09</v>
      </c>
      <c r="E42" s="140">
        <f t="shared" si="3"/>
        <v>73.61</v>
      </c>
      <c r="F42" s="113" t="str">
        <f t="shared" si="4"/>
        <v>UPS</v>
      </c>
      <c r="G42" s="86"/>
      <c r="H42" s="153">
        <v>14.5</v>
      </c>
      <c r="I42" s="140">
        <f t="shared" si="5"/>
        <v>73.61</v>
      </c>
      <c r="J42" s="140">
        <f>(VLOOKUP($H42,FedEx!$T$1:$Y$96,((VLOOKUP($D$3,Areas!$B$4:$E$200,4,FALSE))+1),FALSE))*(1+$J$6)</f>
        <v>136.12</v>
      </c>
      <c r="K42" s="140">
        <f t="shared" si="6"/>
        <v>73.61</v>
      </c>
      <c r="L42" s="113" t="str">
        <f t="shared" si="7"/>
        <v>UPS</v>
      </c>
      <c r="M42" s="86"/>
      <c r="N42" s="157">
        <v>14.5</v>
      </c>
      <c r="O42" s="140">
        <f>(VLOOKUP($N42, UPS!$J$10:$P$106,((VLOOKUP($D$3,Areas!$B$4:$D$200,2,FALSE))+1),FALSE))*(1+$O$6)</f>
        <v>78.3</v>
      </c>
      <c r="P42" s="140">
        <f>(VLOOKUP($N42, FedEx!$K$10:$R$96,((VLOOKUP($D$3,Areas!$B$4:$D$200,3,FALSE))+1),FALSE))*(1+$P$6)</f>
        <v>132.76</v>
      </c>
      <c r="Q42" s="147">
        <f t="shared" si="1"/>
        <v>78.3</v>
      </c>
      <c r="R42" s="113" t="str">
        <f t="shared" si="2"/>
        <v>UPS</v>
      </c>
      <c r="S42" s="28"/>
      <c r="T42" s="5"/>
      <c r="U42" s="5"/>
      <c r="V42" s="5"/>
      <c r="W42" s="5"/>
    </row>
    <row r="43" ht="14.25" customHeight="1">
      <c r="A43" s="5"/>
      <c r="B43" s="148">
        <v>15.0</v>
      </c>
      <c r="C43" s="149">
        <f>(VLOOKUP($B43,UPS!$B$10:$H$106,((VLOOKUP($D$3,Areas!$B$4:$D$200,2,FALSE))+1),FALSE))*(1+$C$6)</f>
        <v>74.76</v>
      </c>
      <c r="D43" s="149">
        <f>(VLOOKUP($B43,FedEx!$B$10:$I$96,((VLOOKUP($D$3,Areas!$B$4:$D$200,3,FALSE))+1),FALSE))*(1+$D$6)</f>
        <v>145.24</v>
      </c>
      <c r="E43" s="149">
        <f t="shared" si="3"/>
        <v>74.76</v>
      </c>
      <c r="F43" s="113" t="str">
        <f t="shared" si="4"/>
        <v>UPS</v>
      </c>
      <c r="G43" s="86"/>
      <c r="H43" s="150">
        <v>15.0</v>
      </c>
      <c r="I43" s="149">
        <f t="shared" si="5"/>
        <v>74.76</v>
      </c>
      <c r="J43" s="149">
        <f>(VLOOKUP($H43,FedEx!$T$1:$Y$96,((VLOOKUP($D$3,Areas!$B$4:$E$200,4,FALSE))+1),FALSE))*(1+$J$6)</f>
        <v>136.12</v>
      </c>
      <c r="K43" s="149">
        <f t="shared" si="6"/>
        <v>74.76</v>
      </c>
      <c r="L43" s="113" t="str">
        <f t="shared" si="7"/>
        <v>UPS</v>
      </c>
      <c r="M43" s="86"/>
      <c r="N43" s="151">
        <v>15.0</v>
      </c>
      <c r="O43" s="149">
        <f>(VLOOKUP($N43, UPS!$J$10:$P$106,((VLOOKUP($D$3,Areas!$B$4:$D$200,2,FALSE))+1),FALSE))*(1+$O$6)</f>
        <v>79.51</v>
      </c>
      <c r="P43" s="149">
        <f>(VLOOKUP($N43, FedEx!$K$10:$R$96,((VLOOKUP($D$3,Areas!$B$4:$D$200,3,FALSE))+1),FALSE))*(1+$P$6)</f>
        <v>135.07</v>
      </c>
      <c r="Q43" s="147">
        <f t="shared" si="1"/>
        <v>79.51</v>
      </c>
      <c r="R43" s="113" t="str">
        <f t="shared" si="2"/>
        <v>UPS</v>
      </c>
      <c r="S43" s="28"/>
      <c r="T43" s="5"/>
      <c r="U43" s="5"/>
      <c r="V43" s="5"/>
      <c r="W43" s="5"/>
    </row>
    <row r="44" ht="14.25" customHeight="1">
      <c r="A44" s="5"/>
      <c r="B44" s="139">
        <v>15.5</v>
      </c>
      <c r="C44" s="140">
        <f>(VLOOKUP($B44,UPS!$B$10:$H$106,((VLOOKUP($D$3,Areas!$B$4:$D$200,2,FALSE))+1),FALSE))*(1+$C$6)</f>
        <v>77</v>
      </c>
      <c r="D44" s="140">
        <f>(VLOOKUP($B44,FedEx!$B$10:$I$96,((VLOOKUP($D$3,Areas!$B$4:$D$200,3,FALSE))+1),FALSE))*(1+$D$6)</f>
        <v>145.24</v>
      </c>
      <c r="E44" s="140">
        <f t="shared" si="3"/>
        <v>77</v>
      </c>
      <c r="F44" s="113" t="str">
        <f t="shared" si="4"/>
        <v>UPS</v>
      </c>
      <c r="G44" s="86"/>
      <c r="H44" s="153">
        <v>15.5</v>
      </c>
      <c r="I44" s="140">
        <f t="shared" si="5"/>
        <v>77</v>
      </c>
      <c r="J44" s="140">
        <f>(VLOOKUP($H44,FedEx!$T$1:$Y$96,((VLOOKUP($D$3,Areas!$B$4:$E$200,4,FALSE))+1),FALSE))*(1+$J$6)</f>
        <v>136.12</v>
      </c>
      <c r="K44" s="140">
        <f t="shared" si="6"/>
        <v>77</v>
      </c>
      <c r="L44" s="113" t="str">
        <f t="shared" si="7"/>
        <v>UPS</v>
      </c>
      <c r="M44" s="86"/>
      <c r="N44" s="157">
        <v>15.5</v>
      </c>
      <c r="O44" s="140">
        <f>(VLOOKUP($N44, UPS!$J$10:$P$106,((VLOOKUP($D$3,Areas!$B$4:$D$200,2,FALSE))+1),FALSE))*(1+$O$6)</f>
        <v>81.91</v>
      </c>
      <c r="P44" s="140">
        <f>(VLOOKUP($N44, FedEx!$K$10:$R$96,((VLOOKUP($D$3,Areas!$B$4:$D$200,3,FALSE))+1),FALSE))*(1+$P$6)</f>
        <v>135.07</v>
      </c>
      <c r="Q44" s="147">
        <f t="shared" si="1"/>
        <v>81.91</v>
      </c>
      <c r="R44" s="113" t="str">
        <f t="shared" si="2"/>
        <v>UPS</v>
      </c>
      <c r="S44" s="28"/>
      <c r="T44" s="5"/>
      <c r="U44" s="5"/>
      <c r="V44" s="5"/>
      <c r="W44" s="5"/>
    </row>
    <row r="45" ht="14.25" customHeight="1">
      <c r="A45" s="5"/>
      <c r="B45" s="148">
        <v>16.0</v>
      </c>
      <c r="C45" s="149">
        <f>(VLOOKUP($B45,UPS!$B$10:$H$106,((VLOOKUP($D$3,Areas!$B$4:$D$200,2,FALSE))+1),FALSE))*(1+$C$6)</f>
        <v>78.87</v>
      </c>
      <c r="D45" s="149">
        <f>(VLOOKUP($B45,FedEx!$B$10:$I$96,((VLOOKUP($D$3,Areas!$B$4:$D$200,3,FALSE))+1),FALSE))*(1+$D$6)</f>
        <v>145.24</v>
      </c>
      <c r="E45" s="149">
        <f t="shared" si="3"/>
        <v>78.87</v>
      </c>
      <c r="F45" s="113" t="str">
        <f t="shared" si="4"/>
        <v>UPS</v>
      </c>
      <c r="G45" s="86"/>
      <c r="H45" s="150">
        <v>16.0</v>
      </c>
      <c r="I45" s="149">
        <f t="shared" si="5"/>
        <v>78.87</v>
      </c>
      <c r="J45" s="149">
        <f>(VLOOKUP($H45,FedEx!$T$1:$Y$96,((VLOOKUP($D$3,Areas!$B$4:$E$200,4,FALSE))+1),FALSE))*(1+$J$6)</f>
        <v>136.12</v>
      </c>
      <c r="K45" s="149">
        <f t="shared" si="6"/>
        <v>78.87</v>
      </c>
      <c r="L45" s="113" t="str">
        <f t="shared" si="7"/>
        <v>UPS</v>
      </c>
      <c r="M45" s="86"/>
      <c r="N45" s="151">
        <v>16.0</v>
      </c>
      <c r="O45" s="149">
        <f>(VLOOKUP($N45, UPS!$J$10:$P$106,((VLOOKUP($D$3,Areas!$B$4:$D$200,2,FALSE))+1),FALSE))*(1+$O$6)</f>
        <v>83.92</v>
      </c>
      <c r="P45" s="149">
        <f>(VLOOKUP($N45, FedEx!$K$10:$R$96,((VLOOKUP($D$3,Areas!$B$4:$D$200,3,FALSE))+1),FALSE))*(1+$P$6)</f>
        <v>135.07</v>
      </c>
      <c r="Q45" s="147">
        <f t="shared" si="1"/>
        <v>83.92</v>
      </c>
      <c r="R45" s="113" t="str">
        <f t="shared" si="2"/>
        <v>UPS</v>
      </c>
      <c r="S45" s="28"/>
      <c r="T45" s="5"/>
      <c r="U45" s="5"/>
      <c r="V45" s="5"/>
      <c r="W45" s="5"/>
    </row>
    <row r="46" ht="14.25" customHeight="1">
      <c r="A46" s="5"/>
      <c r="B46" s="139">
        <v>16.5</v>
      </c>
      <c r="C46" s="140">
        <f>(VLOOKUP($B46,UPS!$B$10:$H$106,((VLOOKUP($D$3,Areas!$B$4:$D$200,2,FALSE))+1),FALSE))*(1+$C$6)</f>
        <v>81.28</v>
      </c>
      <c r="D46" s="140">
        <f>(VLOOKUP($B46,FedEx!$B$10:$I$96,((VLOOKUP($D$3,Areas!$B$4:$D$200,3,FALSE))+1),FALSE))*(1+$D$6)</f>
        <v>145.24</v>
      </c>
      <c r="E46" s="140">
        <f t="shared" si="3"/>
        <v>81.28</v>
      </c>
      <c r="F46" s="113" t="str">
        <f t="shared" si="4"/>
        <v>UPS</v>
      </c>
      <c r="G46" s="86"/>
      <c r="H46" s="153">
        <v>16.5</v>
      </c>
      <c r="I46" s="140">
        <f t="shared" si="5"/>
        <v>81.28</v>
      </c>
      <c r="J46" s="140">
        <f>(VLOOKUP($H46,FedEx!$T$1:$Y$96,((VLOOKUP($D$3,Areas!$B$4:$E$200,4,FALSE))+1),FALSE))*(1+$J$6)</f>
        <v>136.12</v>
      </c>
      <c r="K46" s="140">
        <f t="shared" si="6"/>
        <v>81.28</v>
      </c>
      <c r="L46" s="113" t="str">
        <f t="shared" si="7"/>
        <v>UPS</v>
      </c>
      <c r="M46" s="86"/>
      <c r="N46" s="157">
        <v>16.5</v>
      </c>
      <c r="O46" s="140">
        <f>(VLOOKUP($N46, UPS!$J$10:$P$106,((VLOOKUP($D$3,Areas!$B$4:$D$200,2,FALSE))+1),FALSE))*(1+$O$6)</f>
        <v>86.46</v>
      </c>
      <c r="P46" s="140">
        <f>(VLOOKUP($N46, FedEx!$K$10:$R$96,((VLOOKUP($D$3,Areas!$B$4:$D$200,3,FALSE))+1),FALSE))*(1+$P$6)</f>
        <v>135.07</v>
      </c>
      <c r="Q46" s="147">
        <f t="shared" si="1"/>
        <v>86.46</v>
      </c>
      <c r="R46" s="113" t="str">
        <f t="shared" si="2"/>
        <v>UPS</v>
      </c>
      <c r="S46" s="28"/>
      <c r="T46" s="5"/>
      <c r="U46" s="5"/>
      <c r="V46" s="5"/>
      <c r="W46" s="5"/>
    </row>
    <row r="47" ht="14.25" customHeight="1">
      <c r="A47" s="5"/>
      <c r="B47" s="148">
        <v>17.0</v>
      </c>
      <c r="C47" s="149">
        <f>(VLOOKUP($B47,UPS!$B$10:$H$106,((VLOOKUP($D$3,Areas!$B$4:$D$200,2,FALSE))+1),FALSE))*(1+$C$6)</f>
        <v>82.94</v>
      </c>
      <c r="D47" s="149">
        <f>(VLOOKUP($B47,FedEx!$B$10:$I$96,((VLOOKUP($D$3,Areas!$B$4:$D$200,3,FALSE))+1),FALSE))*(1+$D$6)</f>
        <v>145.24</v>
      </c>
      <c r="E47" s="149">
        <f t="shared" si="3"/>
        <v>82.94</v>
      </c>
      <c r="F47" s="113" t="str">
        <f t="shared" si="4"/>
        <v>UPS</v>
      </c>
      <c r="G47" s="86"/>
      <c r="H47" s="150">
        <v>17.0</v>
      </c>
      <c r="I47" s="149">
        <f t="shared" si="5"/>
        <v>82.94</v>
      </c>
      <c r="J47" s="149">
        <f>(VLOOKUP($H47,FedEx!$T$1:$Y$96,((VLOOKUP($D$3,Areas!$B$4:$E$200,4,FALSE))+1),FALSE))*(1+$J$6)</f>
        <v>136.12</v>
      </c>
      <c r="K47" s="149">
        <f t="shared" si="6"/>
        <v>82.94</v>
      </c>
      <c r="L47" s="113" t="str">
        <f t="shared" si="7"/>
        <v>UPS</v>
      </c>
      <c r="M47" s="86"/>
      <c r="N47" s="151">
        <v>17.0</v>
      </c>
      <c r="O47" s="149">
        <f>(VLOOKUP($N47, UPS!$J$10:$P$106,((VLOOKUP($D$3,Areas!$B$4:$D$200,2,FALSE))+1),FALSE))*(1+$O$6)</f>
        <v>88.21</v>
      </c>
      <c r="P47" s="149">
        <f>(VLOOKUP($N47, FedEx!$K$10:$R$96,((VLOOKUP($D$3,Areas!$B$4:$D$200,3,FALSE))+1),FALSE))*(1+$P$6)</f>
        <v>135.07</v>
      </c>
      <c r="Q47" s="147">
        <f t="shared" si="1"/>
        <v>88.21</v>
      </c>
      <c r="R47" s="113" t="str">
        <f t="shared" si="2"/>
        <v>UPS</v>
      </c>
      <c r="S47" s="28"/>
      <c r="T47" s="5"/>
      <c r="U47" s="5"/>
      <c r="V47" s="5"/>
      <c r="W47" s="5"/>
    </row>
    <row r="48" ht="14.25" customHeight="1">
      <c r="A48" s="5"/>
      <c r="B48" s="139">
        <v>17.5</v>
      </c>
      <c r="C48" s="140">
        <f>(VLOOKUP($B48,UPS!$B$10:$H$106,((VLOOKUP($D$3,Areas!$B$4:$D$200,2,FALSE))+1),FALSE))*(1+$C$6)</f>
        <v>85.24</v>
      </c>
      <c r="D48" s="140">
        <f>(VLOOKUP($B48,FedEx!$B$10:$I$96,((VLOOKUP($D$3,Areas!$B$4:$D$200,3,FALSE))+1),FALSE))*(1+$D$6)</f>
        <v>145.24</v>
      </c>
      <c r="E48" s="140">
        <f t="shared" si="3"/>
        <v>85.24</v>
      </c>
      <c r="F48" s="113" t="str">
        <f t="shared" si="4"/>
        <v>UPS</v>
      </c>
      <c r="G48" s="86"/>
      <c r="H48" s="153">
        <v>17.5</v>
      </c>
      <c r="I48" s="140">
        <f t="shared" si="5"/>
        <v>85.24</v>
      </c>
      <c r="J48" s="140">
        <f>(VLOOKUP($H48,FedEx!$T$1:$Y$96,((VLOOKUP($D$3,Areas!$B$4:$E$200,4,FALSE))+1),FALSE))*(1+$J$6)</f>
        <v>136.12</v>
      </c>
      <c r="K48" s="140">
        <f t="shared" si="6"/>
        <v>85.24</v>
      </c>
      <c r="L48" s="113" t="str">
        <f t="shared" si="7"/>
        <v>UPS</v>
      </c>
      <c r="M48" s="86"/>
      <c r="N48" s="157">
        <v>17.5</v>
      </c>
      <c r="O48" s="140">
        <f>(VLOOKUP($N48, UPS!$J$10:$P$106,((VLOOKUP($D$3,Areas!$B$4:$D$200,2,FALSE))+1),FALSE))*(1+$O$6)</f>
        <v>90.7</v>
      </c>
      <c r="P48" s="140">
        <f>(VLOOKUP($N48, FedEx!$K$10:$R$96,((VLOOKUP($D$3,Areas!$B$4:$D$200,3,FALSE))+1),FALSE))*(1+$P$6)</f>
        <v>135.07</v>
      </c>
      <c r="Q48" s="147">
        <f t="shared" si="1"/>
        <v>90.7</v>
      </c>
      <c r="R48" s="113" t="str">
        <f t="shared" si="2"/>
        <v>UPS</v>
      </c>
      <c r="S48" s="28"/>
      <c r="T48" s="5"/>
      <c r="U48" s="5"/>
      <c r="V48" s="5"/>
      <c r="W48" s="5"/>
    </row>
    <row r="49" ht="14.25" customHeight="1">
      <c r="A49" s="5"/>
      <c r="B49" s="148">
        <v>18.0</v>
      </c>
      <c r="C49" s="149">
        <f>(VLOOKUP($B49,UPS!$B$10:$H$106,((VLOOKUP($D$3,Areas!$B$4:$D$200,2,FALSE))+1),FALSE))*(1+$C$6)</f>
        <v>86.94</v>
      </c>
      <c r="D49" s="149">
        <f>(VLOOKUP($B49,FedEx!$B$10:$I$96,((VLOOKUP($D$3,Areas!$B$4:$D$200,3,FALSE))+1),FALSE))*(1+$D$6)</f>
        <v>145.24</v>
      </c>
      <c r="E49" s="149">
        <f t="shared" si="3"/>
        <v>86.94</v>
      </c>
      <c r="F49" s="113" t="str">
        <f t="shared" si="4"/>
        <v>UPS</v>
      </c>
      <c r="G49" s="86"/>
      <c r="H49" s="150">
        <v>18.0</v>
      </c>
      <c r="I49" s="149">
        <f t="shared" si="5"/>
        <v>86.94</v>
      </c>
      <c r="J49" s="149">
        <f>(VLOOKUP($H49,FedEx!$T$1:$Y$96,((VLOOKUP($D$3,Areas!$B$4:$E$200,4,FALSE))+1),FALSE))*(1+$J$6)</f>
        <v>136.12</v>
      </c>
      <c r="K49" s="149">
        <f t="shared" si="6"/>
        <v>86.94</v>
      </c>
      <c r="L49" s="113" t="str">
        <f t="shared" si="7"/>
        <v>UPS</v>
      </c>
      <c r="M49" s="86"/>
      <c r="N49" s="151">
        <v>18.0</v>
      </c>
      <c r="O49" s="149">
        <f>(VLOOKUP($N49, UPS!$J$10:$P$106,((VLOOKUP($D$3,Areas!$B$4:$D$200,2,FALSE))+1),FALSE))*(1+$O$6)</f>
        <v>92.47</v>
      </c>
      <c r="P49" s="149">
        <f>(VLOOKUP($N49, FedEx!$K$10:$R$96,((VLOOKUP($D$3,Areas!$B$4:$D$200,3,FALSE))+1),FALSE))*(1+$P$6)</f>
        <v>135.07</v>
      </c>
      <c r="Q49" s="147">
        <f t="shared" si="1"/>
        <v>92.47</v>
      </c>
      <c r="R49" s="113" t="str">
        <f t="shared" si="2"/>
        <v>UPS</v>
      </c>
      <c r="S49" s="28"/>
      <c r="T49" s="5"/>
      <c r="U49" s="5"/>
      <c r="V49" s="5"/>
      <c r="W49" s="5"/>
    </row>
    <row r="50" ht="14.25" customHeight="1">
      <c r="A50" s="5"/>
      <c r="B50" s="139">
        <v>18.5</v>
      </c>
      <c r="C50" s="140">
        <f>(VLOOKUP($B50,UPS!$B$10:$H$106,((VLOOKUP($D$3,Areas!$B$4:$D$200,2,FALSE))+1),FALSE))*(1+$C$6)</f>
        <v>89.13</v>
      </c>
      <c r="D50" s="140">
        <f>(VLOOKUP($B50,FedEx!$B$10:$I$96,((VLOOKUP($D$3,Areas!$B$4:$D$200,3,FALSE))+1),FALSE))*(1+$D$6)</f>
        <v>145.24</v>
      </c>
      <c r="E50" s="140">
        <f t="shared" si="3"/>
        <v>89.13</v>
      </c>
      <c r="F50" s="113" t="str">
        <f t="shared" si="4"/>
        <v>UPS</v>
      </c>
      <c r="G50" s="86"/>
      <c r="H50" s="153">
        <v>18.5</v>
      </c>
      <c r="I50" s="140">
        <f t="shared" si="5"/>
        <v>89.13</v>
      </c>
      <c r="J50" s="140">
        <f>(VLOOKUP($H50,FedEx!$T$1:$Y$96,((VLOOKUP($D$3,Areas!$B$4:$E$200,4,FALSE))+1),FALSE))*(1+$J$6)</f>
        <v>136.12</v>
      </c>
      <c r="K50" s="140">
        <f t="shared" si="6"/>
        <v>89.13</v>
      </c>
      <c r="L50" s="113" t="str">
        <f t="shared" si="7"/>
        <v>UPS</v>
      </c>
      <c r="M50" s="86"/>
      <c r="N50" s="157">
        <v>18.5</v>
      </c>
      <c r="O50" s="140">
        <f>(VLOOKUP($N50, UPS!$J$10:$P$106,((VLOOKUP($D$3,Areas!$B$4:$D$200,2,FALSE))+1),FALSE))*(1+$O$6)</f>
        <v>94.81</v>
      </c>
      <c r="P50" s="140">
        <f>(VLOOKUP($N50, FedEx!$K$10:$R$96,((VLOOKUP($D$3,Areas!$B$4:$D$200,3,FALSE))+1),FALSE))*(1+$P$6)</f>
        <v>135.07</v>
      </c>
      <c r="Q50" s="147">
        <f t="shared" si="1"/>
        <v>94.81</v>
      </c>
      <c r="R50" s="113" t="str">
        <f t="shared" si="2"/>
        <v>UPS</v>
      </c>
      <c r="S50" s="28"/>
      <c r="T50" s="5"/>
      <c r="U50" s="5"/>
      <c r="V50" s="5"/>
      <c r="W50" s="5"/>
    </row>
    <row r="51" ht="14.25" customHeight="1">
      <c r="A51" s="5"/>
      <c r="B51" s="148">
        <v>19.0</v>
      </c>
      <c r="C51" s="149">
        <f>(VLOOKUP($B51,UPS!$B$10:$H$106,((VLOOKUP($D$3,Areas!$B$4:$D$200,2,FALSE))+1),FALSE))*(1+$C$6)</f>
        <v>91.13</v>
      </c>
      <c r="D51" s="149">
        <f>(VLOOKUP($B51,FedEx!$B$10:$I$96,((VLOOKUP($D$3,Areas!$B$4:$D$200,3,FALSE))+1),FALSE))*(1+$D$6)</f>
        <v>145.24</v>
      </c>
      <c r="E51" s="149">
        <f t="shared" si="3"/>
        <v>91.13</v>
      </c>
      <c r="F51" s="113" t="str">
        <f t="shared" si="4"/>
        <v>UPS</v>
      </c>
      <c r="G51" s="86"/>
      <c r="H51" s="150">
        <v>19.0</v>
      </c>
      <c r="I51" s="149">
        <f t="shared" si="5"/>
        <v>91.13</v>
      </c>
      <c r="J51" s="149">
        <f>(VLOOKUP($H51,FedEx!$T$1:$Y$96,((VLOOKUP($D$3,Areas!$B$4:$E$200,4,FALSE))+1),FALSE))*(1+$J$6)</f>
        <v>136.12</v>
      </c>
      <c r="K51" s="149">
        <f t="shared" si="6"/>
        <v>91.13</v>
      </c>
      <c r="L51" s="113" t="str">
        <f t="shared" si="7"/>
        <v>UPS</v>
      </c>
      <c r="M51" s="86"/>
      <c r="N51" s="151">
        <v>19.0</v>
      </c>
      <c r="O51" s="149">
        <f>(VLOOKUP($N51, UPS!$J$10:$P$106,((VLOOKUP($D$3,Areas!$B$4:$D$200,2,FALSE))+1),FALSE))*(1+$O$6)</f>
        <v>96.95</v>
      </c>
      <c r="P51" s="149">
        <f>(VLOOKUP($N51, FedEx!$K$10:$R$96,((VLOOKUP($D$3,Areas!$B$4:$D$200,3,FALSE))+1),FALSE))*(1+$P$6)</f>
        <v>135.07</v>
      </c>
      <c r="Q51" s="147">
        <f t="shared" si="1"/>
        <v>96.95</v>
      </c>
      <c r="R51" s="113" t="str">
        <f t="shared" si="2"/>
        <v>UPS</v>
      </c>
      <c r="S51" s="28"/>
      <c r="T51" s="5"/>
      <c r="U51" s="5"/>
      <c r="V51" s="5"/>
      <c r="W51" s="5"/>
    </row>
    <row r="52" ht="14.25" customHeight="1">
      <c r="A52" s="5"/>
      <c r="B52" s="139">
        <v>19.5</v>
      </c>
      <c r="C52" s="140">
        <f>(VLOOKUP($B52,UPS!$B$10:$H$106,((VLOOKUP($D$3,Areas!$B$4:$D$200,2,FALSE))+1),FALSE))*(1+$C$6)</f>
        <v>93.47</v>
      </c>
      <c r="D52" s="140">
        <f>(VLOOKUP($B52,FedEx!$B$10:$I$96,((VLOOKUP($D$3,Areas!$B$4:$D$200,3,FALSE))+1),FALSE))*(1+$D$6)</f>
        <v>145.24</v>
      </c>
      <c r="E52" s="140">
        <f t="shared" si="3"/>
        <v>93.47</v>
      </c>
      <c r="F52" s="113" t="str">
        <f t="shared" si="4"/>
        <v>UPS</v>
      </c>
      <c r="G52" s="86"/>
      <c r="H52" s="153">
        <v>19.5</v>
      </c>
      <c r="I52" s="140">
        <f t="shared" si="5"/>
        <v>93.47</v>
      </c>
      <c r="J52" s="140">
        <f>(VLOOKUP($H52,FedEx!$T$1:$Y$96,((VLOOKUP($D$3,Areas!$B$4:$E$200,4,FALSE))+1),FALSE))*(1+$J$6)</f>
        <v>136.12</v>
      </c>
      <c r="K52" s="140">
        <f t="shared" si="6"/>
        <v>93.47</v>
      </c>
      <c r="L52" s="113" t="str">
        <f t="shared" si="7"/>
        <v>UPS</v>
      </c>
      <c r="M52" s="86"/>
      <c r="N52" s="157">
        <v>19.5</v>
      </c>
      <c r="O52" s="140">
        <f>(VLOOKUP($N52, UPS!$J$10:$P$106,((VLOOKUP($D$3,Areas!$B$4:$D$200,2,FALSE))+1),FALSE))*(1+$O$6)</f>
        <v>99.42</v>
      </c>
      <c r="P52" s="140">
        <f>(VLOOKUP($N52, FedEx!$K$10:$R$96,((VLOOKUP($D$3,Areas!$B$4:$D$200,3,FALSE))+1),FALSE))*(1+$P$6)</f>
        <v>135.07</v>
      </c>
      <c r="Q52" s="147">
        <f t="shared" si="1"/>
        <v>99.42</v>
      </c>
      <c r="R52" s="113" t="str">
        <f t="shared" si="2"/>
        <v>UPS</v>
      </c>
      <c r="S52" s="28"/>
      <c r="T52" s="5"/>
      <c r="U52" s="5"/>
      <c r="V52" s="5"/>
      <c r="W52" s="5"/>
    </row>
    <row r="53" ht="14.25" customHeight="1">
      <c r="A53" s="5"/>
      <c r="B53" s="148">
        <v>20.0</v>
      </c>
      <c r="C53" s="149">
        <f>(VLOOKUP($B53,UPS!$B$10:$H$106,((VLOOKUP($D$3,Areas!$B$4:$D$200,2,FALSE))+1),FALSE))*(1+$C$6)</f>
        <v>94.65</v>
      </c>
      <c r="D53" s="149">
        <f>(VLOOKUP($B53,FedEx!$B$10:$I$96,((VLOOKUP($D$3,Areas!$B$4:$D$200,3,FALSE))+1),FALSE))*(1+$D$6)</f>
        <v>145.24</v>
      </c>
      <c r="E53" s="149">
        <f t="shared" si="3"/>
        <v>94.65</v>
      </c>
      <c r="F53" s="113" t="str">
        <f t="shared" si="4"/>
        <v>UPS</v>
      </c>
      <c r="G53" s="86"/>
      <c r="H53" s="150">
        <v>20.0</v>
      </c>
      <c r="I53" s="149">
        <f t="shared" si="5"/>
        <v>94.65</v>
      </c>
      <c r="J53" s="149">
        <f>(VLOOKUP($H53,FedEx!$T$1:$Y$96,((VLOOKUP($D$3,Areas!$B$4:$E$200,4,FALSE))+1),FALSE))*(1+$J$6)</f>
        <v>136.12</v>
      </c>
      <c r="K53" s="149">
        <f t="shared" si="6"/>
        <v>94.65</v>
      </c>
      <c r="L53" s="113" t="str">
        <f t="shared" si="7"/>
        <v>UPS</v>
      </c>
      <c r="M53" s="86"/>
      <c r="N53" s="151">
        <v>20.0</v>
      </c>
      <c r="O53" s="149">
        <f>(VLOOKUP($N53, UPS!$J$10:$P$106,((VLOOKUP($D$3,Areas!$B$4:$D$200,2,FALSE))+1),FALSE))*(1+$O$6)</f>
        <v>100.71</v>
      </c>
      <c r="P53" s="149">
        <f>(VLOOKUP($N53, FedEx!$K$10:$R$96,((VLOOKUP($D$3,Areas!$B$4:$D$200,3,FALSE))+1),FALSE))*(1+$P$6)</f>
        <v>135.07</v>
      </c>
      <c r="Q53" s="147">
        <f t="shared" si="1"/>
        <v>100.71</v>
      </c>
      <c r="R53" s="113" t="str">
        <f t="shared" si="2"/>
        <v>UPS</v>
      </c>
      <c r="S53" s="28"/>
      <c r="T53" s="5"/>
      <c r="U53" s="5"/>
      <c r="V53" s="5"/>
      <c r="W53" s="5"/>
    </row>
    <row r="54" ht="14.25" customHeight="1">
      <c r="A54" s="5"/>
      <c r="B54" s="139">
        <v>20.5</v>
      </c>
      <c r="C54" s="140">
        <f>(VLOOKUP($B54,UPS!$B$10:$H$106,((VLOOKUP($D$3,Areas!$B$4:$D$200,2,FALSE))+1),FALSE))*(1+$C$6)</f>
        <v>96.53</v>
      </c>
      <c r="D54" s="140">
        <f>(VLOOKUP($B54,FedEx!$B$10:$I$96,((VLOOKUP($D$3,Areas!$B$4:$D$200,3,FALSE))+1),FALSE))*(1+$D$6)</f>
        <v>155.61</v>
      </c>
      <c r="E54" s="140">
        <f t="shared" si="3"/>
        <v>96.53</v>
      </c>
      <c r="F54" s="113" t="str">
        <f t="shared" si="4"/>
        <v>UPS</v>
      </c>
      <c r="G54" s="86"/>
      <c r="H54" s="153">
        <v>20.5</v>
      </c>
      <c r="I54" s="140">
        <f t="shared" si="5"/>
        <v>96.53</v>
      </c>
      <c r="J54" s="140">
        <f>(VLOOKUP($H54,FedEx!$T$1:$Y$96,((VLOOKUP($D$3,Areas!$B$4:$E$200,4,FALSE))+1),FALSE))*(1+$J$6)</f>
        <v>136.12</v>
      </c>
      <c r="K54" s="140">
        <f t="shared" si="6"/>
        <v>96.53</v>
      </c>
      <c r="L54" s="113" t="str">
        <f t="shared" si="7"/>
        <v>UPS</v>
      </c>
      <c r="M54" s="86"/>
      <c r="N54" s="157">
        <v>20.5</v>
      </c>
      <c r="O54" s="140">
        <f>(VLOOKUP($N54, UPS!$J$10:$P$106,((VLOOKUP($D$3,Areas!$B$4:$D$200,2,FALSE))+1),FALSE))*(1+$O$6)</f>
        <v>102.66</v>
      </c>
      <c r="P54" s="140">
        <f>(VLOOKUP($N54, FedEx!$K$10:$R$96,((VLOOKUP($D$3,Areas!$B$4:$D$200,3,FALSE))+1),FALSE))*(1+$P$6)</f>
        <v>146.33</v>
      </c>
      <c r="Q54" s="147">
        <f t="shared" si="1"/>
        <v>102.66</v>
      </c>
      <c r="R54" s="113" t="str">
        <f t="shared" si="2"/>
        <v>UPS</v>
      </c>
      <c r="S54" s="28"/>
      <c r="T54" s="5"/>
      <c r="U54" s="5"/>
      <c r="V54" s="5"/>
      <c r="W54" s="5"/>
    </row>
    <row r="55" ht="14.25" customHeight="1">
      <c r="A55" s="5"/>
      <c r="B55" s="148">
        <v>21.0</v>
      </c>
      <c r="C55" s="149">
        <f>(VLOOKUP($B55,UPS!$B$10:$H$106,((VLOOKUP($D$3,Areas!$B$4:$D$200,2,FALSE))+1),FALSE))*(1+$C$6)</f>
        <v>97.76</v>
      </c>
      <c r="D55" s="149">
        <f>(VLOOKUP($B55,FedEx!$B$10:$I$96,((VLOOKUP($D$3,Areas!$B$4:$D$200,3,FALSE))+1),FALSE))*(1+$D$6)</f>
        <v>155.61</v>
      </c>
      <c r="E55" s="149">
        <f t="shared" si="3"/>
        <v>97.76</v>
      </c>
      <c r="F55" s="113" t="str">
        <f t="shared" si="4"/>
        <v>UPS</v>
      </c>
      <c r="G55" s="86"/>
      <c r="H55" s="150">
        <v>21.0</v>
      </c>
      <c r="I55" s="149">
        <f t="shared" si="5"/>
        <v>97.76</v>
      </c>
      <c r="J55" s="149">
        <f>(VLOOKUP($H55,FedEx!$T$1:$Y$96,((VLOOKUP($D$3,Areas!$B$4:$E$200,4,FALSE))+1),FALSE))*(1+$J$6)</f>
        <v>161.7</v>
      </c>
      <c r="K55" s="149">
        <f t="shared" si="6"/>
        <v>97.76</v>
      </c>
      <c r="L55" s="113" t="str">
        <f t="shared" si="7"/>
        <v>UPS</v>
      </c>
      <c r="M55" s="86"/>
      <c r="N55" s="151">
        <v>21.0</v>
      </c>
      <c r="O55" s="149">
        <f>(VLOOKUP($N55, UPS!$J$10:$P$106,((VLOOKUP($D$3,Areas!$B$4:$D$200,2,FALSE))+1),FALSE))*(1+$O$6)</f>
        <v>103.97</v>
      </c>
      <c r="P55" s="149">
        <f>(VLOOKUP($N55, FedEx!$K$10:$R$96,((VLOOKUP($D$3,Areas!$B$4:$D$200,3,FALSE))+1),FALSE))*(1+$P$6)</f>
        <v>146.37</v>
      </c>
      <c r="Q55" s="147">
        <f t="shared" si="1"/>
        <v>103.97</v>
      </c>
      <c r="R55" s="113" t="str">
        <f t="shared" si="2"/>
        <v>UPS</v>
      </c>
      <c r="S55" s="28"/>
      <c r="T55" s="5"/>
      <c r="U55" s="5"/>
      <c r="V55" s="5"/>
      <c r="W55" s="5"/>
    </row>
    <row r="56" ht="14.25" customHeight="1">
      <c r="A56" s="5"/>
      <c r="B56" s="139">
        <v>21.5</v>
      </c>
      <c r="C56" s="140">
        <f>(VLOOKUP($B56,UPS!$B$10:$H$106,((VLOOKUP($D$3,Areas!$B$4:$D$200,2,FALSE))+1),FALSE))*(1+$C$6)</f>
        <v>99.65</v>
      </c>
      <c r="D56" s="140">
        <f>(VLOOKUP($B56,FedEx!$B$10:$I$96,((VLOOKUP($D$3,Areas!$B$4:$D$200,3,FALSE))+1),FALSE))*(1+$D$6)</f>
        <v>163.02</v>
      </c>
      <c r="E56" s="140">
        <f t="shared" si="3"/>
        <v>99.65</v>
      </c>
      <c r="F56" s="113" t="str">
        <f t="shared" si="4"/>
        <v>UPS</v>
      </c>
      <c r="G56" s="86"/>
      <c r="H56" s="153">
        <v>21.5</v>
      </c>
      <c r="I56" s="140">
        <f t="shared" si="5"/>
        <v>99.65</v>
      </c>
      <c r="J56" s="140">
        <f>(VLOOKUP($H56,FedEx!$T$1:$Y$96,((VLOOKUP($D$3,Areas!$B$4:$E$200,4,FALSE))+1),FALSE))*(1+$J$6)</f>
        <v>169.4</v>
      </c>
      <c r="K56" s="140">
        <f t="shared" si="6"/>
        <v>99.65</v>
      </c>
      <c r="L56" s="113" t="str">
        <f t="shared" si="7"/>
        <v>UPS</v>
      </c>
      <c r="M56" s="86"/>
      <c r="N56" s="157">
        <v>21.5</v>
      </c>
      <c r="O56" s="140">
        <f>(VLOOKUP($N56, UPS!$J$10:$P$106,((VLOOKUP($D$3,Areas!$B$4:$D$200,2,FALSE))+1),FALSE))*(1+$O$6)</f>
        <v>105.99</v>
      </c>
      <c r="P56" s="140">
        <f>(VLOOKUP($N56, FedEx!$K$10:$R$96,((VLOOKUP($D$3,Areas!$B$4:$D$200,3,FALSE))+1),FALSE))*(1+$P$6)</f>
        <v>153.34</v>
      </c>
      <c r="Q56" s="147">
        <f t="shared" si="1"/>
        <v>105.99</v>
      </c>
      <c r="R56" s="113" t="str">
        <f t="shared" si="2"/>
        <v>UPS</v>
      </c>
      <c r="S56" s="28"/>
      <c r="T56" s="5"/>
      <c r="U56" s="5"/>
      <c r="V56" s="5"/>
      <c r="W56" s="5"/>
    </row>
    <row r="57" ht="14.25" customHeight="1">
      <c r="A57" s="5"/>
      <c r="B57" s="148">
        <v>22.0</v>
      </c>
      <c r="C57" s="149">
        <f>(VLOOKUP($B57,UPS!$B$10:$H$106,((VLOOKUP($D$3,Areas!$B$4:$D$200,2,FALSE))+1),FALSE))*(1+$C$6)</f>
        <v>101.87</v>
      </c>
      <c r="D57" s="149">
        <f>(VLOOKUP($B57,FedEx!$B$10:$I$96,((VLOOKUP($D$3,Areas!$B$4:$D$200,3,FALSE))+1),FALSE))*(1+$D$6)</f>
        <v>163.02</v>
      </c>
      <c r="E57" s="149">
        <f t="shared" si="3"/>
        <v>101.87</v>
      </c>
      <c r="F57" s="113" t="str">
        <f t="shared" si="4"/>
        <v>UPS</v>
      </c>
      <c r="G57" s="86"/>
      <c r="H57" s="150">
        <v>22.0</v>
      </c>
      <c r="I57" s="149">
        <f t="shared" si="5"/>
        <v>101.87</v>
      </c>
      <c r="J57" s="149">
        <f>(VLOOKUP($H57,FedEx!$T$1:$Y$96,((VLOOKUP($D$3,Areas!$B$4:$E$200,4,FALSE))+1),FALSE))*(1+$J$6)</f>
        <v>169.4</v>
      </c>
      <c r="K57" s="149">
        <f t="shared" si="6"/>
        <v>101.87</v>
      </c>
      <c r="L57" s="113" t="str">
        <f t="shared" si="7"/>
        <v>UPS</v>
      </c>
      <c r="M57" s="86"/>
      <c r="N57" s="151">
        <v>22.0</v>
      </c>
      <c r="O57" s="149">
        <f>(VLOOKUP($N57, UPS!$J$10:$P$106,((VLOOKUP($D$3,Areas!$B$4:$D$200,2,FALSE))+1),FALSE))*(1+$O$6)</f>
        <v>108.38</v>
      </c>
      <c r="P57" s="149">
        <f>(VLOOKUP($N57, FedEx!$K$10:$R$96,((VLOOKUP($D$3,Areas!$B$4:$D$200,3,FALSE))+1),FALSE))*(1+$P$6)</f>
        <v>153.34</v>
      </c>
      <c r="Q57" s="147">
        <f t="shared" si="1"/>
        <v>108.38</v>
      </c>
      <c r="R57" s="113" t="str">
        <f t="shared" si="2"/>
        <v>UPS</v>
      </c>
      <c r="S57" s="28"/>
      <c r="T57" s="5"/>
      <c r="U57" s="5"/>
      <c r="V57" s="5"/>
      <c r="W57" s="5"/>
    </row>
    <row r="58" ht="14.25" customHeight="1">
      <c r="A58" s="5"/>
      <c r="B58" s="139">
        <v>22.5</v>
      </c>
      <c r="C58" s="140">
        <f>(VLOOKUP($B58,UPS!$B$10:$H$106,((VLOOKUP($D$3,Areas!$B$4:$D$200,2,FALSE))+1),FALSE))*(1+$C$6)</f>
        <v>103.47</v>
      </c>
      <c r="D58" s="140">
        <f>(VLOOKUP($B58,FedEx!$B$10:$I$96,((VLOOKUP($D$3,Areas!$B$4:$D$200,3,FALSE))+1),FALSE))*(1+$D$6)</f>
        <v>170.43</v>
      </c>
      <c r="E58" s="140">
        <f t="shared" si="3"/>
        <v>103.47</v>
      </c>
      <c r="F58" s="113" t="str">
        <f t="shared" si="4"/>
        <v>UPS</v>
      </c>
      <c r="G58" s="86"/>
      <c r="H58" s="153">
        <v>22.5</v>
      </c>
      <c r="I58" s="140">
        <f t="shared" si="5"/>
        <v>103.47</v>
      </c>
      <c r="J58" s="140">
        <f>(VLOOKUP($H58,FedEx!$T$1:$Y$96,((VLOOKUP($D$3,Areas!$B$4:$E$200,4,FALSE))+1),FALSE))*(1+$J$6)</f>
        <v>177.1</v>
      </c>
      <c r="K58" s="140">
        <f t="shared" si="6"/>
        <v>103.47</v>
      </c>
      <c r="L58" s="113" t="str">
        <f t="shared" si="7"/>
        <v>UPS</v>
      </c>
      <c r="M58" s="86"/>
      <c r="N58" s="157">
        <v>22.5</v>
      </c>
      <c r="O58" s="140">
        <f>(VLOOKUP($N58, UPS!$J$10:$P$106,((VLOOKUP($D$3,Areas!$B$4:$D$200,2,FALSE))+1),FALSE))*(1+$O$6)</f>
        <v>110.06</v>
      </c>
      <c r="P58" s="140">
        <f>(VLOOKUP($N58, FedEx!$K$10:$R$96,((VLOOKUP($D$3,Areas!$B$4:$D$200,3,FALSE))+1),FALSE))*(1+$P$6)</f>
        <v>160.31</v>
      </c>
      <c r="Q58" s="147">
        <f t="shared" si="1"/>
        <v>110.06</v>
      </c>
      <c r="R58" s="113" t="str">
        <f t="shared" si="2"/>
        <v>UPS</v>
      </c>
      <c r="S58" s="28"/>
      <c r="T58" s="5"/>
      <c r="U58" s="5"/>
      <c r="V58" s="5"/>
      <c r="W58" s="5"/>
    </row>
    <row r="59" ht="14.25" customHeight="1">
      <c r="A59" s="5"/>
      <c r="B59" s="148">
        <v>23.0</v>
      </c>
      <c r="C59" s="149">
        <f>(VLOOKUP($B59,UPS!$B$10:$H$106,((VLOOKUP($D$3,Areas!$B$4:$D$200,2,FALSE))+1),FALSE))*(1+$C$6)</f>
        <v>105.76</v>
      </c>
      <c r="D59" s="149">
        <f>(VLOOKUP($B59,FedEx!$B$10:$I$96,((VLOOKUP($D$3,Areas!$B$4:$D$200,3,FALSE))+1),FALSE))*(1+$D$6)</f>
        <v>170.43</v>
      </c>
      <c r="E59" s="149">
        <f t="shared" si="3"/>
        <v>105.76</v>
      </c>
      <c r="F59" s="113" t="str">
        <f t="shared" si="4"/>
        <v>UPS</v>
      </c>
      <c r="G59" s="86"/>
      <c r="H59" s="150">
        <v>23.0</v>
      </c>
      <c r="I59" s="149">
        <f t="shared" si="5"/>
        <v>105.76</v>
      </c>
      <c r="J59" s="149">
        <f>(VLOOKUP($H59,FedEx!$T$1:$Y$96,((VLOOKUP($D$3,Areas!$B$4:$E$200,4,FALSE))+1),FALSE))*(1+$J$6)</f>
        <v>177.1</v>
      </c>
      <c r="K59" s="149">
        <f t="shared" si="6"/>
        <v>105.76</v>
      </c>
      <c r="L59" s="113" t="str">
        <f t="shared" si="7"/>
        <v>UPS</v>
      </c>
      <c r="M59" s="86"/>
      <c r="N59" s="151">
        <v>23.0</v>
      </c>
      <c r="O59" s="149">
        <f>(VLOOKUP($N59, UPS!$J$10:$P$106,((VLOOKUP($D$3,Areas!$B$4:$D$200,2,FALSE))+1),FALSE))*(1+$O$6)</f>
        <v>112.52</v>
      </c>
      <c r="P59" s="149">
        <f>(VLOOKUP($N59, FedEx!$K$10:$R$96,((VLOOKUP($D$3,Areas!$B$4:$D$200,3,FALSE))+1),FALSE))*(1+$P$6)</f>
        <v>160.31</v>
      </c>
      <c r="Q59" s="147">
        <f t="shared" si="1"/>
        <v>112.52</v>
      </c>
      <c r="R59" s="113" t="str">
        <f t="shared" si="2"/>
        <v>UPS</v>
      </c>
      <c r="S59" s="28"/>
      <c r="T59" s="5"/>
      <c r="U59" s="5"/>
      <c r="V59" s="5"/>
      <c r="W59" s="5"/>
    </row>
    <row r="60" ht="14.25" customHeight="1">
      <c r="A60" s="5"/>
      <c r="B60" s="139">
        <v>23.5</v>
      </c>
      <c r="C60" s="140">
        <f>(VLOOKUP($B60,UPS!$B$10:$H$106,((VLOOKUP($D$3,Areas!$B$4:$D$200,2,FALSE))+1),FALSE))*(1+$C$6)</f>
        <v>107.82</v>
      </c>
      <c r="D60" s="140">
        <f>(VLOOKUP($B60,FedEx!$B$10:$I$96,((VLOOKUP($D$3,Areas!$B$4:$D$200,3,FALSE))+1),FALSE))*(1+$D$6)</f>
        <v>177.84</v>
      </c>
      <c r="E60" s="140">
        <f t="shared" si="3"/>
        <v>107.82</v>
      </c>
      <c r="F60" s="113" t="str">
        <f t="shared" si="4"/>
        <v>UPS</v>
      </c>
      <c r="G60" s="86"/>
      <c r="H60" s="153">
        <v>23.5</v>
      </c>
      <c r="I60" s="140">
        <f t="shared" si="5"/>
        <v>107.82</v>
      </c>
      <c r="J60" s="140">
        <f>(VLOOKUP($H60,FedEx!$T$1:$Y$96,((VLOOKUP($D$3,Areas!$B$4:$E$200,4,FALSE))+1),FALSE))*(1+$J$6)</f>
        <v>184.8</v>
      </c>
      <c r="K60" s="140">
        <f t="shared" si="6"/>
        <v>107.82</v>
      </c>
      <c r="L60" s="113" t="str">
        <f t="shared" si="7"/>
        <v>UPS</v>
      </c>
      <c r="M60" s="86"/>
      <c r="N60" s="157">
        <v>23.5</v>
      </c>
      <c r="O60" s="140">
        <f>(VLOOKUP($N60, UPS!$J$10:$P$106,((VLOOKUP($D$3,Areas!$B$4:$D$200,2,FALSE))+1),FALSE))*(1+$O$6)</f>
        <v>114.71</v>
      </c>
      <c r="P60" s="140">
        <f>(VLOOKUP($N60, FedEx!$K$10:$R$96,((VLOOKUP($D$3,Areas!$B$4:$D$200,3,FALSE))+1),FALSE))*(1+$P$6)</f>
        <v>167.28</v>
      </c>
      <c r="Q60" s="147">
        <f t="shared" si="1"/>
        <v>114.71</v>
      </c>
      <c r="R60" s="113" t="str">
        <f t="shared" si="2"/>
        <v>UPS</v>
      </c>
      <c r="S60" s="28"/>
      <c r="T60" s="5"/>
      <c r="U60" s="5"/>
      <c r="V60" s="5"/>
      <c r="W60" s="5"/>
    </row>
    <row r="61" ht="14.25" customHeight="1">
      <c r="A61" s="5"/>
      <c r="B61" s="148">
        <v>24.0</v>
      </c>
      <c r="C61" s="149">
        <f>(VLOOKUP($B61,UPS!$B$10:$H$106,((VLOOKUP($D$3,Areas!$B$4:$D$200,2,FALSE))+1),FALSE))*(1+$C$6)</f>
        <v>110.1</v>
      </c>
      <c r="D61" s="149">
        <f>(VLOOKUP($B61,FedEx!$B$10:$I$96,((VLOOKUP($D$3,Areas!$B$4:$D$200,3,FALSE))+1),FALSE))*(1+$D$6)</f>
        <v>177.84</v>
      </c>
      <c r="E61" s="149">
        <f t="shared" si="3"/>
        <v>110.1</v>
      </c>
      <c r="F61" s="113" t="str">
        <f t="shared" si="4"/>
        <v>UPS</v>
      </c>
      <c r="G61" s="86"/>
      <c r="H61" s="150">
        <v>24.0</v>
      </c>
      <c r="I61" s="149">
        <f t="shared" si="5"/>
        <v>110.1</v>
      </c>
      <c r="J61" s="149">
        <f>(VLOOKUP($H61,FedEx!$T$1:$Y$96,((VLOOKUP($D$3,Areas!$B$4:$E$200,4,FALSE))+1),FALSE))*(1+$J$6)</f>
        <v>184.8</v>
      </c>
      <c r="K61" s="149">
        <f t="shared" si="6"/>
        <v>110.1</v>
      </c>
      <c r="L61" s="113" t="str">
        <f t="shared" si="7"/>
        <v>UPS</v>
      </c>
      <c r="M61" s="86"/>
      <c r="N61" s="151">
        <v>24.0</v>
      </c>
      <c r="O61" s="149">
        <f>(VLOOKUP($N61, UPS!$J$10:$P$106,((VLOOKUP($D$3,Areas!$B$4:$D$200,2,FALSE))+1),FALSE))*(1+$O$6)</f>
        <v>117.13</v>
      </c>
      <c r="P61" s="149">
        <f>(VLOOKUP($N61, FedEx!$K$10:$R$96,((VLOOKUP($D$3,Areas!$B$4:$D$200,3,FALSE))+1),FALSE))*(1+$P$6)</f>
        <v>167.28</v>
      </c>
      <c r="Q61" s="147">
        <f t="shared" si="1"/>
        <v>117.13</v>
      </c>
      <c r="R61" s="113" t="str">
        <f t="shared" si="2"/>
        <v>UPS</v>
      </c>
      <c r="S61" s="28"/>
      <c r="T61" s="5"/>
      <c r="U61" s="5"/>
      <c r="V61" s="5"/>
      <c r="W61" s="5"/>
    </row>
    <row r="62" ht="14.25" customHeight="1">
      <c r="A62" s="5"/>
      <c r="B62" s="139">
        <v>24.5</v>
      </c>
      <c r="C62" s="140">
        <f>(VLOOKUP($B62,UPS!$B$10:$H$106,((VLOOKUP($D$3,Areas!$B$4:$D$200,2,FALSE))+1),FALSE))*(1+$C$6)</f>
        <v>112.27</v>
      </c>
      <c r="D62" s="140">
        <f>(VLOOKUP($B62,FedEx!$B$10:$I$96,((VLOOKUP($D$3,Areas!$B$4:$D$200,3,FALSE))+1),FALSE))*(1+$D$6)</f>
        <v>185.25</v>
      </c>
      <c r="E62" s="140">
        <f t="shared" si="3"/>
        <v>112.27</v>
      </c>
      <c r="F62" s="113" t="str">
        <f t="shared" si="4"/>
        <v>UPS</v>
      </c>
      <c r="G62" s="86"/>
      <c r="H62" s="153">
        <v>24.5</v>
      </c>
      <c r="I62" s="140">
        <f t="shared" si="5"/>
        <v>112.27</v>
      </c>
      <c r="J62" s="140">
        <f>(VLOOKUP($H62,FedEx!$T$1:$Y$96,((VLOOKUP($D$3,Areas!$B$4:$E$200,4,FALSE))+1),FALSE))*(1+$J$6)</f>
        <v>192.5</v>
      </c>
      <c r="K62" s="140">
        <f t="shared" si="6"/>
        <v>112.27</v>
      </c>
      <c r="L62" s="113" t="str">
        <f t="shared" si="7"/>
        <v>UPS</v>
      </c>
      <c r="M62" s="86"/>
      <c r="N62" s="157">
        <v>24.5</v>
      </c>
      <c r="O62" s="140">
        <f>(VLOOKUP($N62, UPS!$J$10:$P$106,((VLOOKUP($D$3,Areas!$B$4:$D$200,2,FALSE))+1),FALSE))*(1+$O$6)</f>
        <v>119.46</v>
      </c>
      <c r="P62" s="140">
        <f>(VLOOKUP($N62, FedEx!$K$10:$R$96,((VLOOKUP($D$3,Areas!$B$4:$D$200,3,FALSE))+1),FALSE))*(1+$P$6)</f>
        <v>174.25</v>
      </c>
      <c r="Q62" s="147">
        <f t="shared" si="1"/>
        <v>119.46</v>
      </c>
      <c r="R62" s="113" t="str">
        <f t="shared" si="2"/>
        <v>UPS</v>
      </c>
      <c r="S62" s="28"/>
      <c r="T62" s="5"/>
      <c r="U62" s="5"/>
      <c r="V62" s="5"/>
      <c r="W62" s="5"/>
    </row>
    <row r="63" ht="14.25" customHeight="1">
      <c r="A63" s="5"/>
      <c r="B63" s="148">
        <v>25.0</v>
      </c>
      <c r="C63" s="149">
        <f>(VLOOKUP($B63,UPS!$B$10:$H$106,((VLOOKUP($D$3,Areas!$B$4:$D$200,2,FALSE))+1),FALSE))*(1+$C$6)</f>
        <v>114.3</v>
      </c>
      <c r="D63" s="149">
        <f>(VLOOKUP($B63,FedEx!$B$10:$I$96,((VLOOKUP($D$3,Areas!$B$4:$D$200,3,FALSE))+1),FALSE))*(1+$D$6)</f>
        <v>185.25</v>
      </c>
      <c r="E63" s="149">
        <f t="shared" si="3"/>
        <v>114.3</v>
      </c>
      <c r="F63" s="113" t="str">
        <f t="shared" si="4"/>
        <v>UPS</v>
      </c>
      <c r="G63" s="86"/>
      <c r="H63" s="150">
        <v>25.0</v>
      </c>
      <c r="I63" s="149">
        <f t="shared" si="5"/>
        <v>114.3</v>
      </c>
      <c r="J63" s="149">
        <f>(VLOOKUP($H63,FedEx!$T$1:$Y$96,((VLOOKUP($D$3,Areas!$B$4:$E$200,4,FALSE))+1),FALSE))*(1+$J$6)</f>
        <v>192.5</v>
      </c>
      <c r="K63" s="149">
        <f t="shared" si="6"/>
        <v>114.3</v>
      </c>
      <c r="L63" s="113" t="str">
        <f t="shared" si="7"/>
        <v>UPS</v>
      </c>
      <c r="M63" s="86"/>
      <c r="N63" s="151">
        <v>25.0</v>
      </c>
      <c r="O63" s="149">
        <f>(VLOOKUP($N63, UPS!$J$10:$P$106,((VLOOKUP($D$3,Areas!$B$4:$D$200,2,FALSE))+1),FALSE))*(1+$O$6)</f>
        <v>121.64</v>
      </c>
      <c r="P63" s="149">
        <f>(VLOOKUP($N63, FedEx!$K$10:$R$96,((VLOOKUP($D$3,Areas!$B$4:$D$200,3,FALSE))+1),FALSE))*(1+$P$6)</f>
        <v>174.25</v>
      </c>
      <c r="Q63" s="147">
        <f t="shared" si="1"/>
        <v>121.64</v>
      </c>
      <c r="R63" s="113" t="str">
        <f t="shared" si="2"/>
        <v>UPS</v>
      </c>
      <c r="S63" s="28"/>
      <c r="T63" s="5"/>
      <c r="U63" s="5"/>
      <c r="V63" s="5"/>
      <c r="W63" s="5"/>
    </row>
    <row r="64" ht="14.25" customHeight="1">
      <c r="A64" s="5"/>
      <c r="B64" s="139">
        <v>25.5</v>
      </c>
      <c r="C64" s="140">
        <f>(VLOOKUP($B64,UPS!$B$10:$H$106,((VLOOKUP($D$3,Areas!$B$4:$D$200,2,FALSE))+1),FALSE))*(1+$C$6)</f>
        <v>116.51</v>
      </c>
      <c r="D64" s="140">
        <f>(VLOOKUP($B64,FedEx!$B$10:$I$96,((VLOOKUP($D$3,Areas!$B$4:$D$200,3,FALSE))+1),FALSE))*(1+$D$6)</f>
        <v>192.66</v>
      </c>
      <c r="E64" s="140">
        <f t="shared" si="3"/>
        <v>116.51</v>
      </c>
      <c r="F64" s="113" t="str">
        <f t="shared" si="4"/>
        <v>UPS</v>
      </c>
      <c r="G64" s="86"/>
      <c r="H64" s="153">
        <v>25.5</v>
      </c>
      <c r="I64" s="140">
        <f t="shared" si="5"/>
        <v>116.51</v>
      </c>
      <c r="J64" s="140">
        <f>(VLOOKUP($H64,FedEx!$T$1:$Y$96,((VLOOKUP($D$3,Areas!$B$4:$E$200,4,FALSE))+1),FALSE))*(1+$J$6)</f>
        <v>200.2</v>
      </c>
      <c r="K64" s="140">
        <f t="shared" si="6"/>
        <v>116.51</v>
      </c>
      <c r="L64" s="113" t="str">
        <f t="shared" si="7"/>
        <v>UPS</v>
      </c>
      <c r="M64" s="86"/>
      <c r="N64" s="157">
        <v>25.5</v>
      </c>
      <c r="O64" s="140">
        <f>(VLOOKUP($N64, UPS!$J$10:$P$106,((VLOOKUP($D$3,Areas!$B$4:$D$200,2,FALSE))+1),FALSE))*(1+$O$6)</f>
        <v>123.94</v>
      </c>
      <c r="P64" s="140">
        <f>(VLOOKUP($N64, FedEx!$K$10:$R$96,((VLOOKUP($D$3,Areas!$B$4:$D$200,3,FALSE))+1),FALSE))*(1+$P$6)</f>
        <v>181.22</v>
      </c>
      <c r="Q64" s="147">
        <f t="shared" si="1"/>
        <v>123.94</v>
      </c>
      <c r="R64" s="113" t="str">
        <f t="shared" si="2"/>
        <v>UPS</v>
      </c>
      <c r="S64" s="28"/>
      <c r="T64" s="5"/>
      <c r="U64" s="5"/>
      <c r="V64" s="5"/>
      <c r="W64" s="5"/>
    </row>
    <row r="65" ht="14.25" customHeight="1">
      <c r="A65" s="5"/>
      <c r="B65" s="148">
        <v>26.0</v>
      </c>
      <c r="C65" s="149">
        <f>(VLOOKUP($B65,UPS!$B$10:$H$106,((VLOOKUP($D$3,Areas!$B$4:$D$200,2,FALSE))+1),FALSE))*(1+$C$6)</f>
        <v>118.55</v>
      </c>
      <c r="D65" s="149">
        <f>(VLOOKUP($B65,FedEx!$B$10:$I$96,((VLOOKUP($D$3,Areas!$B$4:$D$200,3,FALSE))+1),FALSE))*(1+$D$6)</f>
        <v>192.66</v>
      </c>
      <c r="E65" s="149">
        <f t="shared" si="3"/>
        <v>118.55</v>
      </c>
      <c r="F65" s="113" t="str">
        <f t="shared" si="4"/>
        <v>UPS</v>
      </c>
      <c r="G65" s="86"/>
      <c r="H65" s="150">
        <v>26.0</v>
      </c>
      <c r="I65" s="149">
        <f t="shared" si="5"/>
        <v>118.55</v>
      </c>
      <c r="J65" s="149">
        <f>(VLOOKUP($H65,FedEx!$T$1:$Y$96,((VLOOKUP($D$3,Areas!$B$4:$E$200,4,FALSE))+1),FALSE))*(1+$J$6)</f>
        <v>200.2</v>
      </c>
      <c r="K65" s="149">
        <f t="shared" si="6"/>
        <v>118.55</v>
      </c>
      <c r="L65" s="113" t="str">
        <f t="shared" si="7"/>
        <v>UPS</v>
      </c>
      <c r="M65" s="86"/>
      <c r="N65" s="151">
        <v>26.0</v>
      </c>
      <c r="O65" s="149">
        <f>(VLOOKUP($N65, UPS!$J$10:$P$106,((VLOOKUP($D$3,Areas!$B$4:$D$200,2,FALSE))+1),FALSE))*(1+$O$6)</f>
        <v>126.11</v>
      </c>
      <c r="P65" s="149">
        <f>(VLOOKUP($N65, FedEx!$K$10:$R$96,((VLOOKUP($D$3,Areas!$B$4:$D$200,3,FALSE))+1),FALSE))*(1+$P$6)</f>
        <v>181.22</v>
      </c>
      <c r="Q65" s="147">
        <f t="shared" si="1"/>
        <v>126.11</v>
      </c>
      <c r="R65" s="113" t="str">
        <f t="shared" si="2"/>
        <v>UPS</v>
      </c>
      <c r="S65" s="28"/>
      <c r="T65" s="5"/>
      <c r="U65" s="5"/>
      <c r="V65" s="5"/>
      <c r="W65" s="5"/>
    </row>
    <row r="66" ht="14.25" customHeight="1">
      <c r="A66" s="5"/>
      <c r="B66" s="139">
        <v>26.5</v>
      </c>
      <c r="C66" s="140">
        <f>(VLOOKUP($B66,UPS!$B$10:$H$106,((VLOOKUP($D$3,Areas!$B$4:$D$200,2,FALSE))+1),FALSE))*(1+$C$6)</f>
        <v>120.68</v>
      </c>
      <c r="D66" s="140">
        <f>(VLOOKUP($B66,FedEx!$B$10:$I$96,((VLOOKUP($D$3,Areas!$B$4:$D$200,3,FALSE))+1),FALSE))*(1+$D$6)</f>
        <v>200.07</v>
      </c>
      <c r="E66" s="140">
        <f t="shared" si="3"/>
        <v>120.68</v>
      </c>
      <c r="F66" s="113" t="str">
        <f t="shared" si="4"/>
        <v>UPS</v>
      </c>
      <c r="G66" s="86"/>
      <c r="H66" s="153">
        <v>26.5</v>
      </c>
      <c r="I66" s="140">
        <f t="shared" si="5"/>
        <v>120.68</v>
      </c>
      <c r="J66" s="140">
        <f>(VLOOKUP($H66,FedEx!$T$1:$Y$96,((VLOOKUP($D$3,Areas!$B$4:$E$200,4,FALSE))+1),FALSE))*(1+$J$6)</f>
        <v>207.9</v>
      </c>
      <c r="K66" s="140">
        <f t="shared" si="6"/>
        <v>120.68</v>
      </c>
      <c r="L66" s="113" t="str">
        <f t="shared" si="7"/>
        <v>UPS</v>
      </c>
      <c r="M66" s="86"/>
      <c r="N66" s="157">
        <v>26.5</v>
      </c>
      <c r="O66" s="140">
        <f>(VLOOKUP($N66, UPS!$J$10:$P$106,((VLOOKUP($D$3,Areas!$B$4:$D$200,2,FALSE))+1),FALSE))*(1+$O$6)</f>
        <v>128.35</v>
      </c>
      <c r="P66" s="140">
        <f>(VLOOKUP($N66, FedEx!$K$10:$R$96,((VLOOKUP($D$3,Areas!$B$4:$D$200,3,FALSE))+1),FALSE))*(1+$P$6)</f>
        <v>188.19</v>
      </c>
      <c r="Q66" s="147">
        <f t="shared" si="1"/>
        <v>128.35</v>
      </c>
      <c r="R66" s="113" t="str">
        <f t="shared" si="2"/>
        <v>UPS</v>
      </c>
      <c r="S66" s="28"/>
      <c r="T66" s="5"/>
      <c r="U66" s="5"/>
      <c r="V66" s="5"/>
      <c r="W66" s="5"/>
    </row>
    <row r="67" ht="14.25" customHeight="1">
      <c r="A67" s="5"/>
      <c r="B67" s="148">
        <v>27.0</v>
      </c>
      <c r="C67" s="149">
        <f>(VLOOKUP($B67,UPS!$B$10:$H$106,((VLOOKUP($D$3,Areas!$B$4:$D$200,2,FALSE))+1),FALSE))*(1+$C$6)</f>
        <v>122.81</v>
      </c>
      <c r="D67" s="149">
        <f>(VLOOKUP($B67,FedEx!$B$10:$I$96,((VLOOKUP($D$3,Areas!$B$4:$D$200,3,FALSE))+1),FALSE))*(1+$D$6)</f>
        <v>200.07</v>
      </c>
      <c r="E67" s="149">
        <f t="shared" si="3"/>
        <v>122.81</v>
      </c>
      <c r="F67" s="113" t="str">
        <f t="shared" si="4"/>
        <v>UPS</v>
      </c>
      <c r="G67" s="86"/>
      <c r="H67" s="150">
        <v>27.0</v>
      </c>
      <c r="I67" s="149">
        <f t="shared" si="5"/>
        <v>122.81</v>
      </c>
      <c r="J67" s="149">
        <f>(VLOOKUP($H67,FedEx!$T$1:$Y$96,((VLOOKUP($D$3,Areas!$B$4:$E$200,4,FALSE))+1),FALSE))*(1+$J$6)</f>
        <v>207.9</v>
      </c>
      <c r="K67" s="149">
        <f t="shared" si="6"/>
        <v>122.81</v>
      </c>
      <c r="L67" s="113" t="str">
        <f t="shared" si="7"/>
        <v>UPS</v>
      </c>
      <c r="M67" s="86"/>
      <c r="N67" s="151">
        <v>27.0</v>
      </c>
      <c r="O67" s="149">
        <f>(VLOOKUP($N67, UPS!$J$10:$P$106,((VLOOKUP($D$3,Areas!$B$4:$D$200,2,FALSE))+1),FALSE))*(1+$O$6)</f>
        <v>130.65</v>
      </c>
      <c r="P67" s="149">
        <f>(VLOOKUP($N67, FedEx!$K$10:$R$96,((VLOOKUP($D$3,Areas!$B$4:$D$200,3,FALSE))+1),FALSE))*(1+$P$6)</f>
        <v>188.19</v>
      </c>
      <c r="Q67" s="147">
        <f t="shared" si="1"/>
        <v>130.65</v>
      </c>
      <c r="R67" s="113" t="str">
        <f t="shared" si="2"/>
        <v>UPS</v>
      </c>
      <c r="S67" s="28"/>
      <c r="T67" s="5"/>
      <c r="U67" s="5"/>
      <c r="V67" s="5"/>
      <c r="W67" s="5"/>
    </row>
    <row r="68" ht="14.25" customHeight="1">
      <c r="A68" s="5"/>
      <c r="B68" s="139">
        <v>27.5</v>
      </c>
      <c r="C68" s="140">
        <f>(VLOOKUP($B68,UPS!$B$10:$H$106,((VLOOKUP($D$3,Areas!$B$4:$D$200,2,FALSE))+1),FALSE))*(1+$C$6)</f>
        <v>125.06</v>
      </c>
      <c r="D68" s="140">
        <f>(VLOOKUP($B68,FedEx!$B$10:$I$96,((VLOOKUP($D$3,Areas!$B$4:$D$200,3,FALSE))+1),FALSE))*(1+$D$6)</f>
        <v>207.48</v>
      </c>
      <c r="E68" s="140">
        <f t="shared" si="3"/>
        <v>125.06</v>
      </c>
      <c r="F68" s="113" t="str">
        <f t="shared" si="4"/>
        <v>UPS</v>
      </c>
      <c r="G68" s="86"/>
      <c r="H68" s="153">
        <v>27.5</v>
      </c>
      <c r="I68" s="140">
        <f t="shared" si="5"/>
        <v>125.06</v>
      </c>
      <c r="J68" s="140">
        <f>(VLOOKUP($H68,FedEx!$T$1:$Y$96,((VLOOKUP($D$3,Areas!$B$4:$E$200,4,FALSE))+1),FALSE))*(1+$J$6)</f>
        <v>215.6</v>
      </c>
      <c r="K68" s="140">
        <f t="shared" si="6"/>
        <v>125.06</v>
      </c>
      <c r="L68" s="113" t="str">
        <f t="shared" si="7"/>
        <v>UPS</v>
      </c>
      <c r="M68" s="86"/>
      <c r="N68" s="157">
        <v>27.5</v>
      </c>
      <c r="O68" s="140">
        <f>(VLOOKUP($N68, UPS!$J$10:$P$106,((VLOOKUP($D$3,Areas!$B$4:$D$200,2,FALSE))+1),FALSE))*(1+$O$6)</f>
        <v>133.04</v>
      </c>
      <c r="P68" s="140">
        <f>(VLOOKUP($N68, FedEx!$K$10:$R$96,((VLOOKUP($D$3,Areas!$B$4:$D$200,3,FALSE))+1),FALSE))*(1+$P$6)</f>
        <v>195.16</v>
      </c>
      <c r="Q68" s="147">
        <f t="shared" si="1"/>
        <v>133.04</v>
      </c>
      <c r="R68" s="113" t="str">
        <f t="shared" si="2"/>
        <v>UPS</v>
      </c>
      <c r="S68" s="28"/>
      <c r="T68" s="5"/>
      <c r="U68" s="5"/>
      <c r="V68" s="5"/>
      <c r="W68" s="5"/>
    </row>
    <row r="69" ht="14.25" customHeight="1">
      <c r="A69" s="5"/>
      <c r="B69" s="148">
        <v>28.0</v>
      </c>
      <c r="C69" s="149">
        <f>(VLOOKUP($B69,UPS!$B$10:$H$106,((VLOOKUP($D$3,Areas!$B$4:$D$200,2,FALSE))+1),FALSE))*(1+$C$6)</f>
        <v>127.1</v>
      </c>
      <c r="D69" s="149">
        <f>(VLOOKUP($B69,FedEx!$B$10:$I$96,((VLOOKUP($D$3,Areas!$B$4:$D$200,3,FALSE))+1),FALSE))*(1+$D$6)</f>
        <v>207.48</v>
      </c>
      <c r="E69" s="149">
        <f t="shared" si="3"/>
        <v>127.1</v>
      </c>
      <c r="F69" s="113" t="str">
        <f t="shared" si="4"/>
        <v>UPS</v>
      </c>
      <c r="G69" s="86"/>
      <c r="H69" s="150">
        <v>28.0</v>
      </c>
      <c r="I69" s="149">
        <f t="shared" si="5"/>
        <v>127.1</v>
      </c>
      <c r="J69" s="149">
        <f>(VLOOKUP($H69,FedEx!$T$1:$Y$96,((VLOOKUP($D$3,Areas!$B$4:$E$200,4,FALSE))+1),FALSE))*(1+$J$6)</f>
        <v>215.6</v>
      </c>
      <c r="K69" s="149">
        <f t="shared" si="6"/>
        <v>127.1</v>
      </c>
      <c r="L69" s="113" t="str">
        <f t="shared" si="7"/>
        <v>UPS</v>
      </c>
      <c r="M69" s="86"/>
      <c r="N69" s="151">
        <v>28.0</v>
      </c>
      <c r="O69" s="149">
        <f>(VLOOKUP($N69, UPS!$J$10:$P$106,((VLOOKUP($D$3,Areas!$B$4:$D$200,2,FALSE))+1),FALSE))*(1+$O$6)</f>
        <v>135.23</v>
      </c>
      <c r="P69" s="149">
        <f>(VLOOKUP($N69, FedEx!$K$10:$R$96,((VLOOKUP($D$3,Areas!$B$4:$D$200,3,FALSE))+1),FALSE))*(1+$P$6)</f>
        <v>195.16</v>
      </c>
      <c r="Q69" s="147">
        <f t="shared" si="1"/>
        <v>135.23</v>
      </c>
      <c r="R69" s="113" t="str">
        <f t="shared" si="2"/>
        <v>UPS</v>
      </c>
      <c r="S69" s="28"/>
      <c r="T69" s="5"/>
      <c r="U69" s="5"/>
      <c r="V69" s="5"/>
      <c r="W69" s="5"/>
    </row>
    <row r="70" ht="14.25" customHeight="1">
      <c r="A70" s="5"/>
      <c r="B70" s="139">
        <v>28.5</v>
      </c>
      <c r="C70" s="140">
        <f>(VLOOKUP($B70,UPS!$B$10:$H$106,((VLOOKUP($D$3,Areas!$B$4:$D$200,2,FALSE))+1),FALSE))*(1+$C$6)</f>
        <v>129.1</v>
      </c>
      <c r="D70" s="140">
        <f>(VLOOKUP($B70,FedEx!$B$10:$I$96,((VLOOKUP($D$3,Areas!$B$4:$D$200,3,FALSE))+1),FALSE))*(1+$D$6)</f>
        <v>214.89</v>
      </c>
      <c r="E70" s="140">
        <f t="shared" si="3"/>
        <v>129.1</v>
      </c>
      <c r="F70" s="113" t="str">
        <f t="shared" si="4"/>
        <v>UPS</v>
      </c>
      <c r="G70" s="86"/>
      <c r="H70" s="153">
        <v>28.5</v>
      </c>
      <c r="I70" s="140">
        <f t="shared" si="5"/>
        <v>129.1</v>
      </c>
      <c r="J70" s="140">
        <f>(VLOOKUP($H70,FedEx!$T$1:$Y$96,((VLOOKUP($D$3,Areas!$B$4:$E$200,4,FALSE))+1),FALSE))*(1+$J$6)</f>
        <v>223.3</v>
      </c>
      <c r="K70" s="140">
        <f t="shared" si="6"/>
        <v>129.1</v>
      </c>
      <c r="L70" s="113" t="str">
        <f t="shared" si="7"/>
        <v>UPS</v>
      </c>
      <c r="M70" s="86"/>
      <c r="N70" s="157">
        <v>28.5</v>
      </c>
      <c r="O70" s="140">
        <f>(VLOOKUP($N70, UPS!$J$10:$P$106,((VLOOKUP($D$3,Areas!$B$4:$D$200,2,FALSE))+1),FALSE))*(1+$O$6)</f>
        <v>137.35</v>
      </c>
      <c r="P70" s="140">
        <f>(VLOOKUP($N70, FedEx!$K$10:$R$96,((VLOOKUP($D$3,Areas!$B$4:$D$200,3,FALSE))+1),FALSE))*(1+$P$6)</f>
        <v>202.13</v>
      </c>
      <c r="Q70" s="147">
        <f t="shared" si="1"/>
        <v>137.35</v>
      </c>
      <c r="R70" s="113" t="str">
        <f t="shared" si="2"/>
        <v>UPS</v>
      </c>
      <c r="S70" s="28"/>
      <c r="T70" s="5"/>
      <c r="U70" s="5"/>
      <c r="V70" s="5"/>
      <c r="W70" s="5"/>
    </row>
    <row r="71" ht="14.25" customHeight="1">
      <c r="A71" s="5"/>
      <c r="B71" s="148">
        <v>29.0</v>
      </c>
      <c r="C71" s="149">
        <f>(VLOOKUP($B71,UPS!$B$10:$H$106,((VLOOKUP($D$3,Areas!$B$4:$D$200,2,FALSE))+1),FALSE))*(1+$C$6)</f>
        <v>131.34</v>
      </c>
      <c r="D71" s="149">
        <f>(VLOOKUP($B71,FedEx!$B$10:$I$96,((VLOOKUP($D$3,Areas!$B$4:$D$200,3,FALSE))+1),FALSE))*(1+$D$6)</f>
        <v>214.89</v>
      </c>
      <c r="E71" s="149">
        <f t="shared" si="3"/>
        <v>131.34</v>
      </c>
      <c r="F71" s="113" t="str">
        <f t="shared" si="4"/>
        <v>UPS</v>
      </c>
      <c r="G71" s="86"/>
      <c r="H71" s="150">
        <v>29.0</v>
      </c>
      <c r="I71" s="149">
        <f t="shared" si="5"/>
        <v>131.34</v>
      </c>
      <c r="J71" s="149">
        <f>(VLOOKUP($H71,FedEx!$T$1:$Y$96,((VLOOKUP($D$3,Areas!$B$4:$E$200,4,FALSE))+1),FALSE))*(1+$J$6)</f>
        <v>223.3</v>
      </c>
      <c r="K71" s="149">
        <f t="shared" si="6"/>
        <v>131.34</v>
      </c>
      <c r="L71" s="113" t="str">
        <f t="shared" si="7"/>
        <v>UPS</v>
      </c>
      <c r="M71" s="86"/>
      <c r="N71" s="151">
        <v>29.0</v>
      </c>
      <c r="O71" s="149">
        <f>(VLOOKUP($N71, UPS!$J$10:$P$106,((VLOOKUP($D$3,Areas!$B$4:$D$200,2,FALSE))+1),FALSE))*(1+$O$6)</f>
        <v>139.74</v>
      </c>
      <c r="P71" s="149">
        <f>(VLOOKUP($N71, FedEx!$K$10:$R$96,((VLOOKUP($D$3,Areas!$B$4:$D$200,3,FALSE))+1),FALSE))*(1+$P$6)</f>
        <v>202.13</v>
      </c>
      <c r="Q71" s="147">
        <f t="shared" si="1"/>
        <v>139.74</v>
      </c>
      <c r="R71" s="113" t="str">
        <f t="shared" si="2"/>
        <v>UPS</v>
      </c>
      <c r="S71" s="28"/>
      <c r="T71" s="5"/>
      <c r="U71" s="5"/>
      <c r="V71" s="5"/>
      <c r="W71" s="5"/>
    </row>
    <row r="72" ht="14.25" customHeight="1">
      <c r="A72" s="5"/>
      <c r="B72" s="139">
        <v>29.5</v>
      </c>
      <c r="C72" s="140">
        <f>(VLOOKUP($B72,UPS!$B$10:$H$106,((VLOOKUP($D$3,Areas!$B$4:$D$200,2,FALSE))+1),FALSE))*(1+$C$6)</f>
        <v>133.46</v>
      </c>
      <c r="D72" s="140">
        <f>(VLOOKUP($B72,FedEx!$B$10:$I$96,((VLOOKUP($D$3,Areas!$B$4:$D$200,3,FALSE))+1),FALSE))*(1+$D$6)</f>
        <v>222.3</v>
      </c>
      <c r="E72" s="140">
        <f t="shared" si="3"/>
        <v>133.46</v>
      </c>
      <c r="F72" s="113" t="str">
        <f t="shared" si="4"/>
        <v>UPS</v>
      </c>
      <c r="G72" s="86"/>
      <c r="H72" s="153">
        <v>29.5</v>
      </c>
      <c r="I72" s="140">
        <f t="shared" si="5"/>
        <v>133.46</v>
      </c>
      <c r="J72" s="140">
        <f>(VLOOKUP($H72,FedEx!$T$1:$Y$96,((VLOOKUP($D$3,Areas!$B$4:$E$200,4,FALSE))+1),FALSE))*(1+$J$6)</f>
        <v>231</v>
      </c>
      <c r="K72" s="140">
        <f t="shared" si="6"/>
        <v>133.46</v>
      </c>
      <c r="L72" s="113" t="str">
        <f t="shared" si="7"/>
        <v>UPS</v>
      </c>
      <c r="M72" s="86"/>
      <c r="N72" s="157">
        <v>29.5</v>
      </c>
      <c r="O72" s="140">
        <f>(VLOOKUP($N72, UPS!$J$10:$P$106,((VLOOKUP($D$3,Areas!$B$4:$D$200,2,FALSE))+1),FALSE))*(1+$O$6)</f>
        <v>141.96</v>
      </c>
      <c r="P72" s="140">
        <f>(VLOOKUP($N72, FedEx!$K$10:$R$96,((VLOOKUP($D$3,Areas!$B$4:$D$200,3,FALSE))+1),FALSE))*(1+$P$6)</f>
        <v>209.1</v>
      </c>
      <c r="Q72" s="147">
        <f t="shared" si="1"/>
        <v>141.96</v>
      </c>
      <c r="R72" s="113" t="str">
        <f t="shared" si="2"/>
        <v>UPS</v>
      </c>
      <c r="S72" s="28"/>
      <c r="T72" s="5"/>
      <c r="U72" s="5"/>
      <c r="V72" s="5"/>
      <c r="W72" s="5"/>
    </row>
    <row r="73" ht="14.25" customHeight="1">
      <c r="A73" s="5"/>
      <c r="B73" s="148">
        <v>30.0</v>
      </c>
      <c r="C73" s="149">
        <f>(VLOOKUP($B73,UPS!$B$10:$H$106,((VLOOKUP($D$3,Areas!$B$4:$D$200,2,FALSE))+1),FALSE))*(1+$C$6)</f>
        <v>135.66</v>
      </c>
      <c r="D73" s="149">
        <f>(VLOOKUP($B73,FedEx!$B$10:$I$96,((VLOOKUP($D$3,Areas!$B$4:$D$200,3,FALSE))+1),FALSE))*(1+$D$6)</f>
        <v>222.3</v>
      </c>
      <c r="E73" s="149">
        <f t="shared" si="3"/>
        <v>135.66</v>
      </c>
      <c r="F73" s="113" t="str">
        <f t="shared" si="4"/>
        <v>UPS</v>
      </c>
      <c r="G73" s="86"/>
      <c r="H73" s="150">
        <v>30.0</v>
      </c>
      <c r="I73" s="149">
        <f t="shared" si="5"/>
        <v>135.66</v>
      </c>
      <c r="J73" s="149">
        <f>(VLOOKUP($H73,FedEx!$T$1:$Y$96,((VLOOKUP($D$3,Areas!$B$4:$E$200,4,FALSE))+1),FALSE))*(1+$J$6)</f>
        <v>231</v>
      </c>
      <c r="K73" s="149">
        <f t="shared" si="6"/>
        <v>135.66</v>
      </c>
      <c r="L73" s="113" t="str">
        <f t="shared" si="7"/>
        <v>UPS</v>
      </c>
      <c r="M73" s="86"/>
      <c r="N73" s="151">
        <v>30.0</v>
      </c>
      <c r="O73" s="149">
        <f>(VLOOKUP($N73, UPS!$J$10:$P$106,((VLOOKUP($D$3,Areas!$B$4:$D$200,2,FALSE))+1),FALSE))*(1+$O$6)</f>
        <v>144.34</v>
      </c>
      <c r="P73" s="149">
        <f>(VLOOKUP($N73, FedEx!$K$10:$R$96,((VLOOKUP($D$3,Areas!$B$4:$D$200,3,FALSE))+1),FALSE))*(1+$P$6)</f>
        <v>209.1</v>
      </c>
      <c r="Q73" s="147">
        <f t="shared" si="1"/>
        <v>144.34</v>
      </c>
      <c r="R73" s="113" t="str">
        <f t="shared" si="2"/>
        <v>UPS</v>
      </c>
      <c r="S73" s="28"/>
      <c r="T73" s="5"/>
      <c r="U73" s="5"/>
      <c r="V73" s="5"/>
      <c r="W73" s="5"/>
    </row>
    <row r="74" ht="14.25" customHeight="1">
      <c r="A74" s="5"/>
      <c r="B74" s="139">
        <v>30.5</v>
      </c>
      <c r="C74" s="140">
        <f>(VLOOKUP($B74,UPS!$B$10:$H$106,((VLOOKUP($D$3,Areas!$B$4:$D$200,2,FALSE))+1),FALSE))*(1+$C$6)</f>
        <v>137.83</v>
      </c>
      <c r="D74" s="140">
        <f>(VLOOKUP($B74,FedEx!$B$10:$I$96,((VLOOKUP($D$3,Areas!$B$4:$D$200,3,FALSE))+1),FALSE))*(1+$D$6)</f>
        <v>229.71</v>
      </c>
      <c r="E74" s="140">
        <f t="shared" si="3"/>
        <v>137.83</v>
      </c>
      <c r="F74" s="113" t="str">
        <f t="shared" si="4"/>
        <v>UPS</v>
      </c>
      <c r="G74" s="86"/>
      <c r="H74" s="153">
        <v>30.5</v>
      </c>
      <c r="I74" s="140">
        <f t="shared" si="5"/>
        <v>137.83</v>
      </c>
      <c r="J74" s="140">
        <f>(VLOOKUP($H74,FedEx!$T$1:$Y$96,((VLOOKUP($D$3,Areas!$B$4:$E$200,4,FALSE))+1),FALSE))*(1+$J$6)</f>
        <v>238.7</v>
      </c>
      <c r="K74" s="140">
        <f t="shared" si="6"/>
        <v>137.83</v>
      </c>
      <c r="L74" s="113" t="str">
        <f t="shared" si="7"/>
        <v>UPS</v>
      </c>
      <c r="M74" s="86"/>
      <c r="N74" s="157">
        <v>30.5</v>
      </c>
      <c r="O74" s="140">
        <f>(VLOOKUP($N74, UPS!$J$10:$P$106,((VLOOKUP($D$3,Areas!$B$4:$D$200,2,FALSE))+1),FALSE))*(1+$O$6)</f>
        <v>146.63</v>
      </c>
      <c r="P74" s="140">
        <f>(VLOOKUP($N74, FedEx!$K$10:$R$96,((VLOOKUP($D$3,Areas!$B$4:$D$200,3,FALSE))+1),FALSE))*(1+$P$6)</f>
        <v>216.07</v>
      </c>
      <c r="Q74" s="147">
        <f t="shared" si="1"/>
        <v>146.63</v>
      </c>
      <c r="R74" s="113" t="str">
        <f t="shared" si="2"/>
        <v>UPS</v>
      </c>
      <c r="S74" s="28"/>
      <c r="T74" s="5"/>
      <c r="U74" s="5"/>
      <c r="V74" s="5"/>
      <c r="W74" s="5"/>
    </row>
    <row r="75" ht="14.25" customHeight="1">
      <c r="A75" s="5"/>
      <c r="B75" s="148">
        <v>31.0</v>
      </c>
      <c r="C75" s="149">
        <f>(VLOOKUP($B75,UPS!$B$10:$H$106,((VLOOKUP($D$3,Areas!$B$4:$D$200,2,FALSE))+1),FALSE))*(1+$C$6)</f>
        <v>139.87</v>
      </c>
      <c r="D75" s="149">
        <f>(VLOOKUP($B75,FedEx!$B$10:$I$96,((VLOOKUP($D$3,Areas!$B$4:$D$200,3,FALSE))+1),FALSE))*(1+$D$6)</f>
        <v>229.71</v>
      </c>
      <c r="E75" s="149">
        <f t="shared" si="3"/>
        <v>139.87</v>
      </c>
      <c r="F75" s="113" t="str">
        <f t="shared" si="4"/>
        <v>UPS</v>
      </c>
      <c r="G75" s="86"/>
      <c r="H75" s="150">
        <v>31.0</v>
      </c>
      <c r="I75" s="149">
        <f t="shared" si="5"/>
        <v>139.87</v>
      </c>
      <c r="J75" s="149">
        <f>(VLOOKUP($H75,FedEx!$T$1:$Y$96,((VLOOKUP($D$3,Areas!$B$4:$E$200,4,FALSE))+1),FALSE))*(1+$J$6)</f>
        <v>238.7</v>
      </c>
      <c r="K75" s="149">
        <f t="shared" si="6"/>
        <v>139.87</v>
      </c>
      <c r="L75" s="113" t="str">
        <f t="shared" si="7"/>
        <v>UPS</v>
      </c>
      <c r="M75" s="86"/>
      <c r="N75" s="151">
        <v>31.0</v>
      </c>
      <c r="O75" s="149">
        <f>(VLOOKUP($N75, UPS!$J$10:$P$106,((VLOOKUP($D$3,Areas!$B$4:$D$200,2,FALSE))+1),FALSE))*(1+$O$6)</f>
        <v>148.81</v>
      </c>
      <c r="P75" s="149">
        <f>(VLOOKUP($N75, FedEx!$K$10:$R$96,((VLOOKUP($D$3,Areas!$B$4:$D$200,3,FALSE))+1),FALSE))*(1+$P$6)</f>
        <v>216.07</v>
      </c>
      <c r="Q75" s="147">
        <f t="shared" si="1"/>
        <v>148.81</v>
      </c>
      <c r="R75" s="113" t="str">
        <f t="shared" si="2"/>
        <v>UPS</v>
      </c>
      <c r="S75" s="28"/>
      <c r="T75" s="5"/>
      <c r="U75" s="5"/>
      <c r="V75" s="5"/>
      <c r="W75" s="5"/>
    </row>
    <row r="76" ht="14.25" customHeight="1">
      <c r="A76" s="5"/>
      <c r="B76" s="139">
        <v>31.5</v>
      </c>
      <c r="C76" s="140">
        <f>(VLOOKUP($B76,UPS!$B$10:$H$106,((VLOOKUP($D$3,Areas!$B$4:$D$200,2,FALSE))+1),FALSE))*(1+$C$6)</f>
        <v>142</v>
      </c>
      <c r="D76" s="140">
        <f>(VLOOKUP($B76,FedEx!$B$10:$I$96,((VLOOKUP($D$3,Areas!$B$4:$D$200,3,FALSE))+1),FALSE))*(1+$D$6)</f>
        <v>237.12</v>
      </c>
      <c r="E76" s="140">
        <f t="shared" si="3"/>
        <v>142</v>
      </c>
      <c r="F76" s="113" t="str">
        <f t="shared" si="4"/>
        <v>UPS</v>
      </c>
      <c r="G76" s="86"/>
      <c r="H76" s="153">
        <v>31.5</v>
      </c>
      <c r="I76" s="140">
        <f t="shared" si="5"/>
        <v>142</v>
      </c>
      <c r="J76" s="140">
        <f>(VLOOKUP($H76,FedEx!$T$1:$Y$96,((VLOOKUP($D$3,Areas!$B$4:$E$200,4,FALSE))+1),FALSE))*(1+$J$6)</f>
        <v>246.4</v>
      </c>
      <c r="K76" s="140">
        <f t="shared" si="6"/>
        <v>142</v>
      </c>
      <c r="L76" s="113" t="str">
        <f t="shared" si="7"/>
        <v>UPS</v>
      </c>
      <c r="M76" s="86"/>
      <c r="N76" s="157">
        <v>31.5</v>
      </c>
      <c r="O76" s="140">
        <f>(VLOOKUP($N76, UPS!$J$10:$P$106,((VLOOKUP($D$3,Areas!$B$4:$D$200,2,FALSE))+1),FALSE))*(1+$O$6)</f>
        <v>151.09</v>
      </c>
      <c r="P76" s="140">
        <f>(VLOOKUP($N76, FedEx!$K$10:$R$96,((VLOOKUP($D$3,Areas!$B$4:$D$200,3,FALSE))+1),FALSE))*(1+$P$6)</f>
        <v>223.04</v>
      </c>
      <c r="Q76" s="140">
        <f t="shared" si="1"/>
        <v>151.09</v>
      </c>
      <c r="R76" s="113" t="str">
        <f t="shared" si="2"/>
        <v>UPS</v>
      </c>
      <c r="S76" s="28"/>
      <c r="T76" s="5"/>
      <c r="U76" s="5"/>
      <c r="V76" s="5"/>
      <c r="W76" s="5"/>
    </row>
    <row r="77" ht="14.25" customHeight="1">
      <c r="A77" s="5"/>
      <c r="B77" s="185" t="s">
        <v>28</v>
      </c>
      <c r="C77" s="186">
        <f>(VLOOKUP($B77,UPS!$B$10:$H$106,((VLOOKUP($D$3,Areas!$B$4:$D$200,2,FALSE))+1),FALSE))*(1+$C$6)</f>
        <v>4.52</v>
      </c>
      <c r="D77" s="186">
        <f>(VLOOKUP($B77,FedEx!$B$10:$I$96,((VLOOKUP($D$3,Areas!$B$4:$D$200,3,FALSE))+1),FALSE))*(1+$D$6)</f>
        <v>7.41</v>
      </c>
      <c r="E77" s="186">
        <f t="shared" si="3"/>
        <v>4.52</v>
      </c>
      <c r="F77" s="113" t="str">
        <f t="shared" si="4"/>
        <v>UPS</v>
      </c>
      <c r="G77" s="86"/>
      <c r="H77" s="185" t="s">
        <v>28</v>
      </c>
      <c r="I77" s="186">
        <f t="shared" si="5"/>
        <v>4.52</v>
      </c>
      <c r="J77" s="186">
        <f>(VLOOKUP($H77,FedEx!$T$1:$Y$96,((VLOOKUP($D$3,Areas!$B$4:$E$200,4,FALSE))+1),FALSE))*(1+$J$6)</f>
        <v>7.7</v>
      </c>
      <c r="K77" s="186">
        <f t="shared" si="6"/>
        <v>4.52</v>
      </c>
      <c r="L77" s="113" t="str">
        <f t="shared" si="7"/>
        <v>UPS</v>
      </c>
      <c r="M77" s="86"/>
      <c r="N77" s="185" t="s">
        <v>28</v>
      </c>
      <c r="O77" s="186">
        <f>(VLOOKUP($N77, UPS!$J$10:$P$106,((VLOOKUP($D$3,Areas!$B$4:$D$200,2,FALSE))+1),FALSE))*(1+$O$6)</f>
        <v>4.81</v>
      </c>
      <c r="P77" s="186">
        <f>(VLOOKUP($N77, FedEx!$K$10:$R$96,((VLOOKUP($D$3,Areas!$B$4:$D$200,3,FALSE))+1),FALSE))*(1+$P$6)</f>
        <v>6.97</v>
      </c>
      <c r="Q77" s="186">
        <f t="shared" si="1"/>
        <v>4.81</v>
      </c>
      <c r="R77" s="113" t="str">
        <f t="shared" si="2"/>
        <v>UPS</v>
      </c>
      <c r="S77" s="28"/>
      <c r="T77" s="5"/>
      <c r="U77" s="5"/>
      <c r="V77" s="5"/>
      <c r="W77" s="5"/>
    </row>
    <row r="78" ht="14.25" customHeight="1">
      <c r="A78" s="5"/>
      <c r="B78" s="187" t="s">
        <v>29</v>
      </c>
      <c r="C78" s="186">
        <f>(VLOOKUP($B78,UPS!$B$10:$H$106,((VLOOKUP($D$3,Areas!$B$4:$D$200,2,FALSE))+1),FALSE))*(1+$C$6)</f>
        <v>4.52</v>
      </c>
      <c r="D78" s="186">
        <f>(VLOOKUP($B78,FedEx!$B$10:$I$96,((VLOOKUP($D$3,Areas!$B$4:$D$200,3,FALSE))+1),FALSE))*(1+$D$6)</f>
        <v>6.87</v>
      </c>
      <c r="E78" s="186">
        <f t="shared" si="3"/>
        <v>4.52</v>
      </c>
      <c r="F78" s="113" t="str">
        <f t="shared" si="4"/>
        <v>UPS</v>
      </c>
      <c r="G78" s="86"/>
      <c r="H78" s="185" t="s">
        <v>29</v>
      </c>
      <c r="I78" s="186">
        <f t="shared" si="5"/>
        <v>4.52</v>
      </c>
      <c r="J78" s="186">
        <f>(VLOOKUP($H78,FedEx!$T$1:$Y$96,((VLOOKUP($D$3,Areas!$B$4:$E$200,4,FALSE))+1),FALSE))*(1+$J$6)</f>
        <v>7.7</v>
      </c>
      <c r="K78" s="140">
        <f t="shared" si="6"/>
        <v>4.52</v>
      </c>
      <c r="L78" s="113" t="str">
        <f t="shared" si="7"/>
        <v>UPS</v>
      </c>
      <c r="M78" s="86"/>
      <c r="N78" s="188" t="s">
        <v>29</v>
      </c>
      <c r="O78" s="186">
        <f>(VLOOKUP($N78, UPS!$J$10:$P$106,((VLOOKUP($D$3,Areas!$B$4:$D$200,2,FALSE))+1),FALSE))*(1+$O$6)</f>
        <v>4.81</v>
      </c>
      <c r="P78" s="186">
        <f>(VLOOKUP($N78, FedEx!$K$10:$R$96,((VLOOKUP($D$3,Areas!$B$4:$D$200,3,FALSE))+1),FALSE))*(1+$P$6)</f>
        <v>6.41</v>
      </c>
      <c r="Q78" s="186">
        <f t="shared" si="1"/>
        <v>4.81</v>
      </c>
      <c r="R78" s="113" t="str">
        <f t="shared" si="2"/>
        <v>UPS</v>
      </c>
      <c r="S78" s="28"/>
      <c r="T78" s="5"/>
      <c r="U78" s="5"/>
      <c r="V78" s="5"/>
      <c r="W78" s="5"/>
    </row>
    <row r="79" ht="14.25" customHeight="1">
      <c r="A79" s="5"/>
      <c r="B79" s="187" t="s">
        <v>30</v>
      </c>
      <c r="C79" s="186">
        <f>(VLOOKUP($B79,UPS!$B$10:$H$106,((VLOOKUP($D$3,Areas!$B$4:$D$200,2,FALSE))+1),FALSE))*(1+$C$6)</f>
        <v>4.52</v>
      </c>
      <c r="D79" s="186">
        <f>(VLOOKUP($B79,FedEx!$B$10:$I$96,((VLOOKUP($D$3,Areas!$B$4:$D$200,3,FALSE))+1),FALSE))*(1+$D$6)</f>
        <v>5.95</v>
      </c>
      <c r="E79" s="186">
        <f t="shared" si="3"/>
        <v>4.52</v>
      </c>
      <c r="F79" s="113" t="str">
        <f t="shared" si="4"/>
        <v>UPS</v>
      </c>
      <c r="G79" s="86"/>
      <c r="H79" s="185" t="s">
        <v>30</v>
      </c>
      <c r="I79" s="186">
        <f t="shared" si="5"/>
        <v>4.52</v>
      </c>
      <c r="J79" s="186">
        <f>(VLOOKUP($H79,FedEx!$T$1:$Y$96,((VLOOKUP($D$3,Areas!$B$4:$E$200,4,FALSE))+1),FALSE))*(1+$J$6)</f>
        <v>7.7</v>
      </c>
      <c r="K79" s="149">
        <f t="shared" si="6"/>
        <v>4.52</v>
      </c>
      <c r="L79" s="113" t="str">
        <f t="shared" si="7"/>
        <v>UPS</v>
      </c>
      <c r="M79" s="86"/>
      <c r="N79" s="188" t="s">
        <v>30</v>
      </c>
      <c r="O79" s="186">
        <f>(VLOOKUP($N79, UPS!$J$10:$P$106,((VLOOKUP($D$3,Areas!$B$4:$D$200,2,FALSE))+1),FALSE))*(1+$O$6)</f>
        <v>4.81</v>
      </c>
      <c r="P79" s="186">
        <f>(VLOOKUP($N79, FedEx!$K$10:$R$96,((VLOOKUP($D$3,Areas!$B$4:$D$200,3,FALSE))+1),FALSE))*(1+$P$6)</f>
        <v>6.41</v>
      </c>
      <c r="Q79" s="186">
        <f t="shared" si="1"/>
        <v>4.81</v>
      </c>
      <c r="R79" s="113" t="str">
        <f t="shared" si="2"/>
        <v>UPS</v>
      </c>
      <c r="S79" s="28"/>
      <c r="T79" s="5"/>
      <c r="U79" s="5"/>
      <c r="V79" s="5"/>
      <c r="W79" s="5"/>
    </row>
    <row r="80" ht="14.25" customHeight="1">
      <c r="A80" s="5"/>
      <c r="B80" s="187" t="s">
        <v>31</v>
      </c>
      <c r="C80" s="186">
        <f>(VLOOKUP($B80,UPS!$B$10:$H$106,((VLOOKUP($D$3,Areas!$B$4:$D$200,2,FALSE))+1),FALSE))*(1+$C$6)</f>
        <v>4.52</v>
      </c>
      <c r="D80" s="186">
        <f>(VLOOKUP($B80,FedEx!$B$10:$I$96,((VLOOKUP($D$3,Areas!$B$4:$D$200,3,FALSE))+1),FALSE))*(1+$D$6)</f>
        <v>5.89</v>
      </c>
      <c r="E80" s="186">
        <f t="shared" si="3"/>
        <v>4.52</v>
      </c>
      <c r="F80" s="113" t="str">
        <f t="shared" si="4"/>
        <v>UPS</v>
      </c>
      <c r="G80" s="86"/>
      <c r="H80" s="185" t="s">
        <v>31</v>
      </c>
      <c r="I80" s="186">
        <f t="shared" si="5"/>
        <v>4.52</v>
      </c>
      <c r="J80" s="186">
        <f>(VLOOKUP($H80,FedEx!$T$1:$Y$96,((VLOOKUP($D$3,Areas!$B$4:$E$200,4,FALSE))+1),FALSE))*(1+$J$6)</f>
        <v>7.7</v>
      </c>
      <c r="K80" s="186">
        <f t="shared" si="6"/>
        <v>4.52</v>
      </c>
      <c r="L80" s="113" t="str">
        <f t="shared" si="7"/>
        <v>UPS</v>
      </c>
      <c r="M80" s="86"/>
      <c r="N80" s="188" t="s">
        <v>31</v>
      </c>
      <c r="O80" s="186">
        <f>(VLOOKUP($N80, UPS!$J$10:$P$106,((VLOOKUP($D$3,Areas!$B$4:$D$200,2,FALSE))+1),FALSE))*(1+$O$6)</f>
        <v>4.81</v>
      </c>
      <c r="P80" s="186">
        <f>(VLOOKUP($N80, FedEx!$K$10:$R$96,((VLOOKUP($D$3,Areas!$B$4:$D$200,3,FALSE))+1),FALSE))*(1+$P$6)</f>
        <v>6.34</v>
      </c>
      <c r="Q80" s="186">
        <f t="shared" si="1"/>
        <v>4.81</v>
      </c>
      <c r="R80" s="113" t="str">
        <f t="shared" si="2"/>
        <v>UPS</v>
      </c>
      <c r="S80" s="28"/>
      <c r="T80" s="5"/>
      <c r="U80" s="5"/>
      <c r="V80" s="5"/>
      <c r="W80" s="5"/>
    </row>
    <row r="81" ht="14.25" customHeight="1">
      <c r="A81" s="5"/>
      <c r="B81" s="187" t="s">
        <v>32</v>
      </c>
      <c r="C81" s="186">
        <f>(VLOOKUP($B81,UPS!$B$10:$H$106,((VLOOKUP($D$3,Areas!$B$4:$D$200,2,FALSE))+1),FALSE))*(1+$C$6)</f>
        <v>4.52</v>
      </c>
      <c r="D81" s="186">
        <f>(VLOOKUP($B81,FedEx!$B$10:$I$96,((VLOOKUP($D$3,Areas!$B$4:$D$200,3,FALSE))+1),FALSE))*(1+$D$6)</f>
        <v>5.85</v>
      </c>
      <c r="E81" s="186">
        <f t="shared" si="3"/>
        <v>4.52</v>
      </c>
      <c r="F81" s="113" t="str">
        <f t="shared" si="4"/>
        <v>UPS</v>
      </c>
      <c r="G81" s="86"/>
      <c r="H81" s="185" t="s">
        <v>32</v>
      </c>
      <c r="I81" s="186">
        <f t="shared" si="5"/>
        <v>4.52</v>
      </c>
      <c r="J81" s="186">
        <f>(VLOOKUP($H81,FedEx!$T$1:$Y$96,((VLOOKUP($D$3,Areas!$B$4:$E$200,4,FALSE))+1),FALSE))*(1+$J$6)</f>
        <v>7.7</v>
      </c>
      <c r="K81" s="186">
        <f t="shared" si="6"/>
        <v>4.52</v>
      </c>
      <c r="L81" s="113" t="str">
        <f t="shared" si="7"/>
        <v>UPS</v>
      </c>
      <c r="M81" s="86"/>
      <c r="N81" s="188" t="s">
        <v>32</v>
      </c>
      <c r="O81" s="186">
        <f>(VLOOKUP($N81, UPS!$J$10:$P$106,((VLOOKUP($D$3,Areas!$B$4:$D$200,2,FALSE))+1),FALSE))*(1+$O$6)</f>
        <v>4.81</v>
      </c>
      <c r="P81" s="186">
        <f>(VLOOKUP($N81, FedEx!$K$10:$R$96,((VLOOKUP($D$3,Areas!$B$4:$D$200,3,FALSE))+1),FALSE))*(1+$P$6)</f>
        <v>6.34</v>
      </c>
      <c r="Q81" s="186">
        <f t="shared" si="1"/>
        <v>4.81</v>
      </c>
      <c r="R81" s="113" t="str">
        <f t="shared" si="2"/>
        <v>UPS</v>
      </c>
      <c r="S81" s="28"/>
      <c r="T81" s="5"/>
      <c r="U81" s="5"/>
      <c r="V81" s="5"/>
      <c r="W81" s="5"/>
    </row>
    <row r="82" ht="14.25" customHeight="1">
      <c r="A82" s="5"/>
      <c r="B82" s="187" t="s">
        <v>33</v>
      </c>
      <c r="C82" s="186">
        <f>(VLOOKUP($B82,UPS!$B$10:$H$106,((VLOOKUP($D$3,Areas!$B$4:$D$200,2,FALSE))+1),FALSE))*(1+$C$6)</f>
        <v>4.52</v>
      </c>
      <c r="D82" s="186">
        <f>(VLOOKUP($B82,FedEx!$B$10:$I$96,((VLOOKUP($D$3,Areas!$B$4:$D$200,3,FALSE))+1),FALSE))*(1+$D$6)</f>
        <v>5.84</v>
      </c>
      <c r="E82" s="186">
        <f t="shared" si="3"/>
        <v>4.52</v>
      </c>
      <c r="F82" s="113" t="str">
        <f t="shared" si="4"/>
        <v>UPS</v>
      </c>
      <c r="G82" s="86"/>
      <c r="H82" s="185" t="s">
        <v>33</v>
      </c>
      <c r="I82" s="186">
        <f t="shared" si="5"/>
        <v>4.52</v>
      </c>
      <c r="J82" s="186">
        <f>(VLOOKUP($H82,FedEx!$T$1:$Y$96,((VLOOKUP($D$3,Areas!$B$4:$E$200,4,FALSE))+1),FALSE))*(1+$J$6)</f>
        <v>7.7</v>
      </c>
      <c r="K82" s="186">
        <f t="shared" si="6"/>
        <v>4.52</v>
      </c>
      <c r="L82" s="113" t="str">
        <f t="shared" si="7"/>
        <v>UPS</v>
      </c>
      <c r="M82" s="86"/>
      <c r="N82" s="188" t="s">
        <v>33</v>
      </c>
      <c r="O82" s="186">
        <f>(VLOOKUP($N82, UPS!$J$10:$P$106,((VLOOKUP($D$3,Areas!$B$4:$D$200,2,FALSE))+1),FALSE))*(1+$O$6)</f>
        <v>4.81</v>
      </c>
      <c r="P82" s="186">
        <f>(VLOOKUP($N82, FedEx!$K$10:$R$96,((VLOOKUP($D$3,Areas!$B$4:$D$200,3,FALSE))+1),FALSE))*(1+$P$6)</f>
        <v>6.33</v>
      </c>
      <c r="Q82" s="186">
        <f t="shared" si="1"/>
        <v>4.81</v>
      </c>
      <c r="R82" s="113" t="str">
        <f t="shared" si="2"/>
        <v>UPS</v>
      </c>
      <c r="S82" s="28"/>
      <c r="T82" s="5"/>
      <c r="U82" s="5"/>
      <c r="V82" s="5"/>
      <c r="W82" s="5"/>
    </row>
    <row r="83" ht="14.25" customHeight="1">
      <c r="A83" s="5"/>
      <c r="B83" s="187" t="s">
        <v>34</v>
      </c>
      <c r="C83" s="186">
        <f>(VLOOKUP($B83,UPS!$B$10:$H$106,((VLOOKUP($D$3,Areas!$B$4:$D$200,2,FALSE))+1),FALSE))*(1+$C$6)</f>
        <v>4.52</v>
      </c>
      <c r="D83" s="186">
        <f>(VLOOKUP($B83,FedEx!$B$10:$I$96,((VLOOKUP($D$3,Areas!$B$4:$D$200,3,FALSE))+1),FALSE))*(1+$D$6)</f>
        <v>5.84</v>
      </c>
      <c r="E83" s="186">
        <f t="shared" si="3"/>
        <v>4.52</v>
      </c>
      <c r="F83" s="113" t="str">
        <f t="shared" si="4"/>
        <v>UPS</v>
      </c>
      <c r="G83" s="86"/>
      <c r="H83" s="185" t="s">
        <v>34</v>
      </c>
      <c r="I83" s="186">
        <f t="shared" si="5"/>
        <v>4.52</v>
      </c>
      <c r="J83" s="186">
        <f>(VLOOKUP($H83,FedEx!$T$1:$Y$96,((VLOOKUP($D$3,Areas!$B$4:$E$200,4,FALSE))+1),FALSE))*(1+$J$6)</f>
        <v>7.7</v>
      </c>
      <c r="K83" s="186">
        <f t="shared" si="6"/>
        <v>4.52</v>
      </c>
      <c r="L83" s="113" t="str">
        <f t="shared" si="7"/>
        <v>UPS</v>
      </c>
      <c r="M83" s="86"/>
      <c r="N83" s="188" t="s">
        <v>34</v>
      </c>
      <c r="O83" s="186">
        <f>(VLOOKUP($N83, UPS!$J$10:$P$106,((VLOOKUP($D$3,Areas!$B$4:$D$200,2,FALSE))+1),FALSE))*(1+$O$6)</f>
        <v>4.81</v>
      </c>
      <c r="P83" s="186">
        <f>(VLOOKUP($N83, FedEx!$K$10:$R$96,((VLOOKUP($D$3,Areas!$B$4:$D$200,3,FALSE))+1),FALSE))*(1+$P$6)</f>
        <v>6.33</v>
      </c>
      <c r="Q83" s="186">
        <f t="shared" si="1"/>
        <v>4.81</v>
      </c>
      <c r="R83" s="113" t="str">
        <f t="shared" si="2"/>
        <v>UPS</v>
      </c>
      <c r="S83" s="28"/>
      <c r="T83" s="5"/>
      <c r="U83" s="5"/>
      <c r="V83" s="5"/>
      <c r="W83" s="5"/>
    </row>
    <row r="84" ht="14.25" customHeight="1">
      <c r="A84" s="5"/>
      <c r="B84" s="189" t="s">
        <v>35</v>
      </c>
      <c r="C84" s="190">
        <f>(VLOOKUP($B84,UPS!$B$10:$H$106,((VLOOKUP($D$3,Areas!$B$4:$D$200,2,FALSE))+1),FALSE))*(1+$C$6)</f>
        <v>4.52</v>
      </c>
      <c r="D84" s="190">
        <f>(VLOOKUP($B84,FedEx!$B$10:$I$96,((VLOOKUP($D$3,Areas!$B$4:$D$200,3,FALSE))+1),FALSE))*(1+$D$6)</f>
        <v>5.84</v>
      </c>
      <c r="E84" s="190">
        <f t="shared" si="3"/>
        <v>4.52</v>
      </c>
      <c r="F84" s="191" t="str">
        <f t="shared" si="4"/>
        <v>UPS</v>
      </c>
      <c r="G84" s="86"/>
      <c r="H84" s="192" t="s">
        <v>35</v>
      </c>
      <c r="I84" s="190">
        <f t="shared" si="5"/>
        <v>4.52</v>
      </c>
      <c r="J84" s="190">
        <f>(VLOOKUP($H84,FedEx!$T$1:$Y$96,((VLOOKUP($D$3,Areas!$B$4:$E$200,4,FALSE))+1),FALSE))*(1+$J$6)</f>
        <v>7.7</v>
      </c>
      <c r="K84" s="190">
        <f t="shared" si="6"/>
        <v>4.52</v>
      </c>
      <c r="L84" s="191" t="str">
        <f t="shared" si="7"/>
        <v>UPS</v>
      </c>
      <c r="M84" s="86"/>
      <c r="N84" s="193" t="s">
        <v>35</v>
      </c>
      <c r="O84" s="190">
        <f>(VLOOKUP($N84, UPS!$J$10:$P$106,((VLOOKUP($D$3,Areas!$B$4:$D$200,2,FALSE))+1),FALSE))*(1+$O$6)</f>
        <v>4.81</v>
      </c>
      <c r="P84" s="190">
        <f>(VLOOKUP($N84, FedEx!$K$10:$R$96,((VLOOKUP($D$3,Areas!$B$4:$D$200,3,FALSE))+1),FALSE))*(1+$P$6)</f>
        <v>6.33</v>
      </c>
      <c r="Q84" s="190">
        <f t="shared" si="1"/>
        <v>4.81</v>
      </c>
      <c r="R84" s="191" t="str">
        <f t="shared" si="2"/>
        <v>UPS</v>
      </c>
      <c r="S84" s="28"/>
      <c r="T84" s="5"/>
      <c r="U84" s="5"/>
      <c r="V84" s="5"/>
      <c r="W84" s="5"/>
    </row>
    <row r="85" ht="14.25" customHeight="1">
      <c r="A85" s="5"/>
      <c r="B85" s="5"/>
      <c r="C85" s="194"/>
      <c r="D85" s="194"/>
      <c r="E85" s="194"/>
      <c r="F85" s="195"/>
      <c r="G85" s="5"/>
      <c r="H85" s="195"/>
      <c r="I85" s="194"/>
      <c r="J85" s="194"/>
      <c r="K85" s="194"/>
      <c r="L85" s="195"/>
      <c r="M85" s="5"/>
      <c r="N85" s="195"/>
      <c r="O85" s="194"/>
      <c r="P85" s="194"/>
      <c r="Q85" s="194"/>
      <c r="R85" s="195"/>
      <c r="S85" s="5"/>
      <c r="T85" s="5"/>
      <c r="U85" s="5"/>
      <c r="V85" s="5"/>
      <c r="W85" s="5"/>
    </row>
    <row r="86" ht="14.25" customHeight="1">
      <c r="A86" s="5"/>
      <c r="B86" s="5"/>
      <c r="C86" s="6"/>
      <c r="D86" s="6"/>
      <c r="E86" s="6"/>
      <c r="F86" s="5"/>
      <c r="G86" s="5"/>
      <c r="H86" s="5"/>
      <c r="I86" s="6"/>
      <c r="J86" s="6"/>
      <c r="K86" s="6"/>
      <c r="L86" s="5"/>
      <c r="M86" s="5"/>
      <c r="N86" s="5"/>
      <c r="O86" s="6"/>
      <c r="P86" s="6"/>
      <c r="Q86" s="6"/>
      <c r="R86" s="5"/>
      <c r="S86" s="5"/>
      <c r="T86" s="5"/>
      <c r="U86" s="5"/>
      <c r="V86" s="5"/>
      <c r="W86" s="5"/>
    </row>
    <row r="87" ht="14.25" customHeight="1">
      <c r="A87" s="5"/>
      <c r="B87" s="5"/>
      <c r="C87" s="6"/>
      <c r="D87" s="6"/>
      <c r="E87" s="6"/>
      <c r="F87" s="5"/>
      <c r="G87" s="5"/>
      <c r="H87" s="5"/>
      <c r="I87" s="6"/>
      <c r="J87" s="6"/>
      <c r="K87" s="6"/>
      <c r="L87" s="5"/>
      <c r="M87" s="5"/>
      <c r="N87" s="5"/>
      <c r="O87" s="6"/>
      <c r="P87" s="6"/>
      <c r="Q87" s="6"/>
      <c r="R87" s="5"/>
      <c r="S87" s="5"/>
      <c r="T87" s="5"/>
      <c r="U87" s="5"/>
      <c r="V87" s="5"/>
      <c r="W87" s="5"/>
    </row>
    <row r="88" ht="14.25" customHeight="1">
      <c r="A88" s="5"/>
      <c r="B88" s="5"/>
      <c r="C88" s="6"/>
      <c r="D88" s="6"/>
      <c r="E88" s="6"/>
      <c r="F88" s="5"/>
      <c r="G88" s="5"/>
      <c r="H88" s="5"/>
      <c r="I88" s="6"/>
      <c r="J88" s="6"/>
      <c r="K88" s="6"/>
      <c r="L88" s="5"/>
      <c r="M88" s="5"/>
      <c r="N88" s="5"/>
      <c r="O88" s="6"/>
      <c r="P88" s="6"/>
      <c r="Q88" s="6"/>
      <c r="R88" s="5"/>
      <c r="S88" s="5"/>
      <c r="T88" s="5"/>
      <c r="U88" s="5"/>
      <c r="V88" s="5"/>
      <c r="W88" s="5"/>
    </row>
    <row r="89" ht="14.25" customHeight="1">
      <c r="A89" s="5"/>
      <c r="B89" s="5"/>
      <c r="C89" s="6"/>
      <c r="D89" s="6"/>
      <c r="E89" s="6"/>
      <c r="F89" s="5"/>
      <c r="G89" s="5"/>
      <c r="H89" s="5"/>
      <c r="I89" s="6"/>
      <c r="J89" s="6"/>
      <c r="K89" s="6"/>
      <c r="L89" s="5"/>
      <c r="M89" s="5"/>
      <c r="N89" s="5"/>
      <c r="O89" s="6"/>
      <c r="P89" s="6"/>
      <c r="Q89" s="6"/>
      <c r="R89" s="5"/>
      <c r="S89" s="5"/>
      <c r="T89" s="5"/>
      <c r="U89" s="5"/>
      <c r="V89" s="5"/>
      <c r="W89" s="5"/>
    </row>
    <row r="90" ht="14.25" customHeight="1">
      <c r="A90" s="5"/>
      <c r="B90" s="5"/>
      <c r="C90" s="6"/>
      <c r="D90" s="6"/>
      <c r="E90" s="6"/>
      <c r="F90" s="5"/>
      <c r="G90" s="5"/>
      <c r="H90" s="5"/>
      <c r="I90" s="6"/>
      <c r="J90" s="6"/>
      <c r="K90" s="6"/>
      <c r="L90" s="5"/>
      <c r="M90" s="5"/>
      <c r="N90" s="5"/>
      <c r="O90" s="6"/>
      <c r="P90" s="6"/>
      <c r="Q90" s="6"/>
      <c r="R90" s="5"/>
      <c r="S90" s="5"/>
      <c r="T90" s="5"/>
      <c r="U90" s="5"/>
      <c r="V90" s="5"/>
      <c r="W90" s="5"/>
    </row>
    <row r="91" ht="14.25" customHeight="1">
      <c r="A91" s="5"/>
      <c r="B91" s="5"/>
      <c r="C91" s="6"/>
      <c r="D91" s="6"/>
      <c r="E91" s="6"/>
      <c r="F91" s="5"/>
      <c r="G91" s="5"/>
      <c r="H91" s="5"/>
      <c r="I91" s="6"/>
      <c r="J91" s="6"/>
      <c r="K91" s="6"/>
      <c r="L91" s="5"/>
      <c r="M91" s="5"/>
      <c r="N91" s="5"/>
      <c r="O91" s="6"/>
      <c r="P91" s="6"/>
      <c r="Q91" s="6"/>
      <c r="R91" s="5"/>
      <c r="S91" s="5"/>
      <c r="T91" s="5"/>
      <c r="U91" s="5"/>
      <c r="V91" s="5"/>
      <c r="W91" s="5"/>
    </row>
    <row r="92" ht="14.25" customHeight="1">
      <c r="A92" s="5"/>
      <c r="B92" s="5"/>
      <c r="C92" s="6"/>
      <c r="D92" s="6"/>
      <c r="E92" s="6"/>
      <c r="F92" s="5"/>
      <c r="G92" s="5"/>
      <c r="H92" s="5"/>
      <c r="I92" s="6"/>
      <c r="J92" s="6"/>
      <c r="K92" s="6"/>
      <c r="L92" s="5"/>
      <c r="M92" s="5"/>
      <c r="N92" s="5"/>
      <c r="O92" s="6"/>
      <c r="P92" s="6"/>
      <c r="Q92" s="6"/>
      <c r="R92" s="5"/>
      <c r="S92" s="5"/>
      <c r="T92" s="5"/>
      <c r="U92" s="5"/>
      <c r="V92" s="5"/>
      <c r="W92" s="5"/>
    </row>
    <row r="93" ht="14.25" customHeight="1">
      <c r="A93" s="5"/>
      <c r="B93" s="5"/>
      <c r="C93" s="6"/>
      <c r="D93" s="6"/>
      <c r="E93" s="6"/>
      <c r="F93" s="5"/>
      <c r="G93" s="5"/>
      <c r="H93" s="5"/>
      <c r="I93" s="6"/>
      <c r="J93" s="6"/>
      <c r="K93" s="6"/>
      <c r="L93" s="5"/>
      <c r="M93" s="5"/>
      <c r="N93" s="5"/>
      <c r="O93" s="6"/>
      <c r="P93" s="6"/>
      <c r="Q93" s="6"/>
      <c r="R93" s="5"/>
      <c r="S93" s="5"/>
      <c r="T93" s="5"/>
      <c r="U93" s="5"/>
      <c r="V93" s="5"/>
      <c r="W93" s="5"/>
    </row>
    <row r="94" ht="14.25" customHeight="1">
      <c r="A94" s="5"/>
      <c r="B94" s="5"/>
      <c r="C94" s="6"/>
      <c r="D94" s="6"/>
      <c r="E94" s="6"/>
      <c r="F94" s="5"/>
      <c r="G94" s="5"/>
      <c r="H94" s="5"/>
      <c r="I94" s="6"/>
      <c r="J94" s="6"/>
      <c r="K94" s="6"/>
      <c r="L94" s="5"/>
      <c r="M94" s="5"/>
      <c r="N94" s="5"/>
      <c r="O94" s="6"/>
      <c r="P94" s="6"/>
      <c r="Q94" s="6"/>
      <c r="R94" s="5"/>
      <c r="S94" s="5"/>
      <c r="T94" s="5"/>
      <c r="U94" s="5"/>
      <c r="V94" s="5"/>
      <c r="W94" s="5"/>
    </row>
    <row r="95" ht="14.25" customHeight="1">
      <c r="A95" s="5"/>
      <c r="B95" s="5"/>
      <c r="C95" s="6"/>
      <c r="D95" s="6"/>
      <c r="E95" s="6"/>
      <c r="F95" s="5"/>
      <c r="G95" s="5"/>
      <c r="H95" s="5"/>
      <c r="I95" s="6"/>
      <c r="J95" s="6"/>
      <c r="K95" s="6"/>
      <c r="L95" s="5"/>
      <c r="M95" s="5"/>
      <c r="N95" s="5"/>
      <c r="O95" s="6"/>
      <c r="P95" s="6"/>
      <c r="Q95" s="6"/>
      <c r="R95" s="5"/>
      <c r="S95" s="5"/>
      <c r="T95" s="5"/>
      <c r="U95" s="5"/>
      <c r="V95" s="5"/>
      <c r="W95" s="5"/>
    </row>
    <row r="96" ht="14.25" customHeight="1">
      <c r="A96" s="5"/>
      <c r="B96" s="5"/>
      <c r="C96" s="6"/>
      <c r="D96" s="6"/>
      <c r="E96" s="6"/>
      <c r="F96" s="5"/>
      <c r="G96" s="5"/>
      <c r="H96" s="5"/>
      <c r="I96" s="6"/>
      <c r="J96" s="6"/>
      <c r="K96" s="6"/>
      <c r="L96" s="5"/>
      <c r="M96" s="5"/>
      <c r="N96" s="5"/>
      <c r="O96" s="6"/>
      <c r="P96" s="6"/>
      <c r="Q96" s="6"/>
      <c r="R96" s="5"/>
      <c r="S96" s="5"/>
      <c r="T96" s="5"/>
      <c r="U96" s="5"/>
      <c r="V96" s="5"/>
      <c r="W96" s="5"/>
    </row>
    <row r="97" ht="14.25" customHeight="1">
      <c r="A97" s="5"/>
      <c r="B97" s="5"/>
      <c r="C97" s="6"/>
      <c r="D97" s="6"/>
      <c r="E97" s="6"/>
      <c r="F97" s="5"/>
      <c r="G97" s="5"/>
      <c r="H97" s="5"/>
      <c r="I97" s="6"/>
      <c r="J97" s="6"/>
      <c r="K97" s="6"/>
      <c r="L97" s="5"/>
      <c r="M97" s="5"/>
      <c r="N97" s="5"/>
      <c r="O97" s="6"/>
      <c r="P97" s="6"/>
      <c r="Q97" s="6"/>
      <c r="R97" s="5"/>
      <c r="S97" s="5"/>
      <c r="T97" s="5"/>
      <c r="U97" s="5"/>
      <c r="V97" s="5"/>
      <c r="W97" s="5"/>
    </row>
    <row r="98" ht="14.25" customHeight="1">
      <c r="A98" s="5"/>
      <c r="B98" s="5"/>
      <c r="C98" s="6"/>
      <c r="D98" s="6"/>
      <c r="E98" s="6"/>
      <c r="F98" s="5"/>
      <c r="G98" s="5"/>
      <c r="H98" s="5"/>
      <c r="I98" s="6"/>
      <c r="J98" s="6"/>
      <c r="K98" s="6"/>
      <c r="L98" s="5"/>
      <c r="M98" s="5"/>
      <c r="N98" s="5"/>
      <c r="O98" s="6"/>
      <c r="P98" s="6"/>
      <c r="Q98" s="6"/>
      <c r="R98" s="5"/>
      <c r="S98" s="5"/>
      <c r="T98" s="5"/>
      <c r="U98" s="5"/>
      <c r="V98" s="5"/>
      <c r="W98" s="5"/>
    </row>
    <row r="99" ht="14.25" customHeight="1">
      <c r="A99" s="5"/>
      <c r="B99" s="5"/>
      <c r="C99" s="6"/>
      <c r="D99" s="6"/>
      <c r="E99" s="6"/>
      <c r="F99" s="5"/>
      <c r="G99" s="5"/>
      <c r="H99" s="5"/>
      <c r="I99" s="6"/>
      <c r="J99" s="6"/>
      <c r="K99" s="6"/>
      <c r="L99" s="5"/>
      <c r="M99" s="5"/>
      <c r="N99" s="5"/>
      <c r="O99" s="6"/>
      <c r="P99" s="6"/>
      <c r="Q99" s="6"/>
      <c r="R99" s="5"/>
      <c r="S99" s="5"/>
      <c r="T99" s="5"/>
      <c r="U99" s="5"/>
      <c r="V99" s="5"/>
      <c r="W99" s="5"/>
    </row>
    <row r="100" ht="14.25" customHeight="1">
      <c r="A100" s="5"/>
      <c r="B100" s="5"/>
      <c r="C100" s="6"/>
      <c r="D100" s="6"/>
      <c r="E100" s="6"/>
      <c r="F100" s="5"/>
      <c r="G100" s="5"/>
      <c r="H100" s="5"/>
      <c r="I100" s="6"/>
      <c r="J100" s="6"/>
      <c r="K100" s="6"/>
      <c r="L100" s="5"/>
      <c r="M100" s="5"/>
      <c r="N100" s="5"/>
      <c r="O100" s="6"/>
      <c r="P100" s="6"/>
      <c r="Q100" s="6"/>
      <c r="R100" s="5"/>
      <c r="S100" s="5"/>
      <c r="T100" s="5"/>
      <c r="U100" s="5"/>
      <c r="V100" s="5"/>
      <c r="W100" s="5"/>
    </row>
    <row r="101" ht="14.25" customHeight="1">
      <c r="A101" s="5"/>
      <c r="B101" s="5"/>
      <c r="C101" s="6"/>
      <c r="D101" s="6"/>
      <c r="E101" s="6"/>
      <c r="F101" s="5"/>
      <c r="G101" s="5"/>
      <c r="H101" s="5"/>
      <c r="I101" s="6"/>
      <c r="J101" s="6"/>
      <c r="K101" s="6"/>
      <c r="L101" s="5"/>
      <c r="M101" s="5"/>
      <c r="N101" s="5"/>
      <c r="O101" s="6"/>
      <c r="P101" s="6"/>
      <c r="Q101" s="6"/>
      <c r="R101" s="5"/>
      <c r="S101" s="5"/>
      <c r="T101" s="5"/>
      <c r="U101" s="5"/>
      <c r="V101" s="5"/>
      <c r="W101" s="5"/>
    </row>
    <row r="102" ht="14.25" customHeight="1">
      <c r="A102" s="5"/>
      <c r="B102" s="5"/>
      <c r="C102" s="6"/>
      <c r="D102" s="6"/>
      <c r="E102" s="6"/>
      <c r="F102" s="5"/>
      <c r="G102" s="5"/>
      <c r="H102" s="5"/>
      <c r="I102" s="6"/>
      <c r="J102" s="6"/>
      <c r="K102" s="6"/>
      <c r="L102" s="5"/>
      <c r="M102" s="5"/>
      <c r="N102" s="5"/>
      <c r="O102" s="6"/>
      <c r="P102" s="6"/>
      <c r="Q102" s="6"/>
      <c r="R102" s="5"/>
      <c r="S102" s="5"/>
      <c r="T102" s="5"/>
      <c r="U102" s="5"/>
      <c r="V102" s="5"/>
      <c r="W102" s="5"/>
    </row>
    <row r="103" ht="14.25" customHeight="1">
      <c r="A103" s="5"/>
      <c r="B103" s="5"/>
      <c r="C103" s="6"/>
      <c r="D103" s="6"/>
      <c r="E103" s="6"/>
      <c r="F103" s="5"/>
      <c r="G103" s="5"/>
      <c r="H103" s="5"/>
      <c r="I103" s="6"/>
      <c r="J103" s="6"/>
      <c r="K103" s="6"/>
      <c r="L103" s="5"/>
      <c r="M103" s="5"/>
      <c r="N103" s="5"/>
      <c r="O103" s="6"/>
      <c r="P103" s="6"/>
      <c r="Q103" s="6"/>
      <c r="R103" s="5"/>
      <c r="S103" s="5"/>
      <c r="T103" s="5"/>
      <c r="U103" s="5"/>
      <c r="V103" s="5"/>
      <c r="W103" s="5"/>
    </row>
    <row r="104" ht="14.25" customHeight="1">
      <c r="A104" s="5"/>
      <c r="B104" s="5"/>
      <c r="C104" s="6"/>
      <c r="D104" s="6"/>
      <c r="E104" s="6"/>
      <c r="F104" s="5"/>
      <c r="G104" s="5"/>
      <c r="H104" s="5"/>
      <c r="I104" s="6"/>
      <c r="J104" s="6"/>
      <c r="K104" s="6"/>
      <c r="L104" s="5"/>
      <c r="M104" s="5"/>
      <c r="N104" s="5"/>
      <c r="O104" s="6"/>
      <c r="P104" s="6"/>
      <c r="Q104" s="6"/>
      <c r="R104" s="5"/>
      <c r="S104" s="5"/>
      <c r="T104" s="5"/>
      <c r="U104" s="5"/>
      <c r="V104" s="5"/>
      <c r="W104" s="5"/>
    </row>
    <row r="105" ht="14.25" customHeight="1">
      <c r="A105" s="5"/>
      <c r="B105" s="5"/>
      <c r="C105" s="6"/>
      <c r="D105" s="6"/>
      <c r="E105" s="6"/>
      <c r="F105" s="5"/>
      <c r="G105" s="5"/>
      <c r="H105" s="5"/>
      <c r="I105" s="6"/>
      <c r="J105" s="6"/>
      <c r="K105" s="6"/>
      <c r="L105" s="5"/>
      <c r="M105" s="5"/>
      <c r="N105" s="5"/>
      <c r="O105" s="6"/>
      <c r="P105" s="6"/>
      <c r="Q105" s="6"/>
      <c r="R105" s="5"/>
      <c r="S105" s="5"/>
      <c r="T105" s="5"/>
      <c r="U105" s="5"/>
      <c r="V105" s="5"/>
      <c r="W105" s="5"/>
    </row>
    <row r="106" ht="14.25" customHeight="1">
      <c r="A106" s="5"/>
      <c r="B106" s="5"/>
      <c r="C106" s="6"/>
      <c r="D106" s="6"/>
      <c r="E106" s="6"/>
      <c r="F106" s="5"/>
      <c r="G106" s="5"/>
      <c r="H106" s="5"/>
      <c r="I106" s="6"/>
      <c r="J106" s="6"/>
      <c r="K106" s="6"/>
      <c r="L106" s="5"/>
      <c r="M106" s="5"/>
      <c r="N106" s="5"/>
      <c r="O106" s="6"/>
      <c r="P106" s="6"/>
      <c r="Q106" s="6"/>
      <c r="R106" s="5"/>
      <c r="S106" s="5"/>
      <c r="T106" s="5"/>
      <c r="U106" s="5"/>
      <c r="V106" s="5"/>
      <c r="W106" s="5"/>
    </row>
    <row r="107" ht="14.25" customHeight="1">
      <c r="A107" s="5"/>
      <c r="B107" s="5"/>
      <c r="C107" s="6"/>
      <c r="D107" s="6"/>
      <c r="E107" s="6"/>
      <c r="F107" s="5"/>
      <c r="G107" s="5"/>
      <c r="H107" s="5"/>
      <c r="I107" s="6"/>
      <c r="J107" s="6"/>
      <c r="K107" s="6"/>
      <c r="L107" s="5"/>
      <c r="M107" s="5"/>
      <c r="N107" s="5"/>
      <c r="O107" s="6"/>
      <c r="P107" s="6"/>
      <c r="Q107" s="6"/>
      <c r="R107" s="5"/>
      <c r="S107" s="5"/>
      <c r="T107" s="5"/>
      <c r="U107" s="5"/>
      <c r="V107" s="5"/>
      <c r="W107" s="5"/>
    </row>
    <row r="108" ht="14.25" customHeight="1">
      <c r="A108" s="5"/>
      <c r="B108" s="5"/>
      <c r="C108" s="6"/>
      <c r="D108" s="6"/>
      <c r="E108" s="6"/>
      <c r="F108" s="5"/>
      <c r="G108" s="5"/>
      <c r="H108" s="5"/>
      <c r="I108" s="6"/>
      <c r="J108" s="6"/>
      <c r="K108" s="6"/>
      <c r="L108" s="5"/>
      <c r="M108" s="5"/>
      <c r="N108" s="5"/>
      <c r="O108" s="6"/>
      <c r="P108" s="6"/>
      <c r="Q108" s="6"/>
      <c r="R108" s="5"/>
      <c r="S108" s="5"/>
      <c r="T108" s="5"/>
      <c r="U108" s="5"/>
      <c r="V108" s="5"/>
      <c r="W108" s="5"/>
    </row>
    <row r="109" ht="14.25" customHeight="1">
      <c r="A109" s="5"/>
      <c r="B109" s="5"/>
      <c r="C109" s="6"/>
      <c r="D109" s="6"/>
      <c r="E109" s="6"/>
      <c r="F109" s="5"/>
      <c r="G109" s="5"/>
      <c r="H109" s="5"/>
      <c r="I109" s="6"/>
      <c r="J109" s="6"/>
      <c r="K109" s="6"/>
      <c r="L109" s="5"/>
      <c r="M109" s="5"/>
      <c r="N109" s="5"/>
      <c r="O109" s="6"/>
      <c r="P109" s="6"/>
      <c r="Q109" s="6"/>
      <c r="R109" s="5"/>
      <c r="S109" s="5"/>
      <c r="T109" s="5"/>
      <c r="U109" s="5"/>
      <c r="V109" s="5"/>
      <c r="W109" s="5"/>
    </row>
    <row r="110" ht="14.25" customHeight="1">
      <c r="A110" s="5"/>
      <c r="B110" s="5"/>
      <c r="C110" s="6"/>
      <c r="D110" s="6"/>
      <c r="E110" s="6"/>
      <c r="F110" s="5"/>
      <c r="G110" s="5"/>
      <c r="H110" s="5"/>
      <c r="I110" s="6"/>
      <c r="J110" s="6"/>
      <c r="K110" s="6"/>
      <c r="L110" s="5"/>
      <c r="M110" s="5"/>
      <c r="N110" s="5"/>
      <c r="O110" s="6"/>
      <c r="P110" s="6"/>
      <c r="Q110" s="6"/>
      <c r="R110" s="5"/>
      <c r="S110" s="5"/>
      <c r="T110" s="5"/>
      <c r="U110" s="5"/>
      <c r="V110" s="5"/>
      <c r="W110" s="5"/>
    </row>
    <row r="111" ht="14.25" customHeight="1">
      <c r="A111" s="5"/>
      <c r="B111" s="5"/>
      <c r="C111" s="6"/>
      <c r="D111" s="6"/>
      <c r="E111" s="6"/>
      <c r="F111" s="5"/>
      <c r="G111" s="5"/>
      <c r="H111" s="5"/>
      <c r="I111" s="6"/>
      <c r="J111" s="6"/>
      <c r="K111" s="6"/>
      <c r="L111" s="5"/>
      <c r="M111" s="5"/>
      <c r="N111" s="5"/>
      <c r="O111" s="6"/>
      <c r="P111" s="6"/>
      <c r="Q111" s="6"/>
      <c r="R111" s="5"/>
      <c r="S111" s="5"/>
      <c r="T111" s="5"/>
      <c r="U111" s="5"/>
      <c r="V111" s="5"/>
      <c r="W111" s="5"/>
    </row>
    <row r="112" ht="14.25" customHeight="1">
      <c r="A112" s="5"/>
      <c r="B112" s="5"/>
      <c r="C112" s="6"/>
      <c r="D112" s="6"/>
      <c r="E112" s="6"/>
      <c r="F112" s="5"/>
      <c r="G112" s="5"/>
      <c r="H112" s="5"/>
      <c r="I112" s="6"/>
      <c r="J112" s="6"/>
      <c r="K112" s="6"/>
      <c r="L112" s="5"/>
      <c r="M112" s="5"/>
      <c r="N112" s="5"/>
      <c r="O112" s="6"/>
      <c r="P112" s="6"/>
      <c r="Q112" s="6"/>
      <c r="R112" s="5"/>
      <c r="S112" s="5"/>
      <c r="T112" s="5"/>
      <c r="U112" s="5"/>
      <c r="V112" s="5"/>
      <c r="W112" s="5"/>
    </row>
    <row r="113" ht="14.25" customHeight="1">
      <c r="A113" s="5"/>
      <c r="B113" s="5"/>
      <c r="C113" s="6"/>
      <c r="D113" s="6"/>
      <c r="E113" s="6"/>
      <c r="F113" s="5"/>
      <c r="G113" s="5"/>
      <c r="H113" s="5"/>
      <c r="I113" s="6"/>
      <c r="J113" s="6"/>
      <c r="K113" s="6"/>
      <c r="L113" s="5"/>
      <c r="M113" s="5"/>
      <c r="N113" s="5"/>
      <c r="O113" s="6"/>
      <c r="P113" s="6"/>
      <c r="Q113" s="6"/>
      <c r="R113" s="5"/>
      <c r="S113" s="5"/>
      <c r="T113" s="5"/>
      <c r="U113" s="5"/>
      <c r="V113" s="5"/>
      <c r="W113" s="5"/>
    </row>
    <row r="114" ht="14.25" customHeight="1">
      <c r="A114" s="5"/>
      <c r="B114" s="5"/>
      <c r="C114" s="6"/>
      <c r="D114" s="6"/>
      <c r="E114" s="6"/>
      <c r="F114" s="5"/>
      <c r="G114" s="5"/>
      <c r="H114" s="5"/>
      <c r="I114" s="6"/>
      <c r="J114" s="6"/>
      <c r="K114" s="6"/>
      <c r="L114" s="5"/>
      <c r="M114" s="5"/>
      <c r="N114" s="5"/>
      <c r="O114" s="6"/>
      <c r="P114" s="6"/>
      <c r="Q114" s="6"/>
      <c r="R114" s="5"/>
      <c r="S114" s="5"/>
      <c r="T114" s="5"/>
      <c r="U114" s="5"/>
      <c r="V114" s="5"/>
      <c r="W114" s="5"/>
    </row>
    <row r="115" ht="14.25" customHeight="1">
      <c r="A115" s="5"/>
      <c r="B115" s="5"/>
      <c r="C115" s="6"/>
      <c r="D115" s="6"/>
      <c r="E115" s="6"/>
      <c r="F115" s="5"/>
      <c r="G115" s="5"/>
      <c r="H115" s="5"/>
      <c r="I115" s="6"/>
      <c r="J115" s="6"/>
      <c r="K115" s="6"/>
      <c r="L115" s="5"/>
      <c r="M115" s="5"/>
      <c r="N115" s="5"/>
      <c r="O115" s="6"/>
      <c r="P115" s="6"/>
      <c r="Q115" s="6"/>
      <c r="R115" s="5"/>
      <c r="S115" s="5"/>
      <c r="T115" s="5"/>
      <c r="U115" s="5"/>
      <c r="V115" s="5"/>
      <c r="W115" s="5"/>
    </row>
    <row r="116" ht="14.25" customHeight="1">
      <c r="A116" s="5"/>
      <c r="B116" s="5"/>
      <c r="C116" s="6"/>
      <c r="D116" s="6"/>
      <c r="E116" s="6"/>
      <c r="F116" s="5"/>
      <c r="G116" s="5"/>
      <c r="H116" s="5"/>
      <c r="I116" s="6"/>
      <c r="J116" s="6"/>
      <c r="K116" s="6"/>
      <c r="L116" s="5"/>
      <c r="M116" s="5"/>
      <c r="N116" s="5"/>
      <c r="O116" s="6"/>
      <c r="P116" s="6"/>
      <c r="Q116" s="6"/>
      <c r="R116" s="5"/>
      <c r="S116" s="5"/>
      <c r="T116" s="5"/>
      <c r="U116" s="5"/>
      <c r="V116" s="5"/>
      <c r="W116" s="5"/>
    </row>
    <row r="117" ht="14.25" customHeight="1">
      <c r="A117" s="5"/>
      <c r="B117" s="5"/>
      <c r="C117" s="6"/>
      <c r="D117" s="6"/>
      <c r="E117" s="6"/>
      <c r="F117" s="5"/>
      <c r="G117" s="5"/>
      <c r="H117" s="5"/>
      <c r="I117" s="6"/>
      <c r="J117" s="6"/>
      <c r="K117" s="6"/>
      <c r="L117" s="5"/>
      <c r="M117" s="5"/>
      <c r="N117" s="5"/>
      <c r="O117" s="6"/>
      <c r="P117" s="6"/>
      <c r="Q117" s="6"/>
      <c r="R117" s="5"/>
      <c r="S117" s="5"/>
      <c r="T117" s="5"/>
      <c r="U117" s="5"/>
      <c r="V117" s="5"/>
      <c r="W117" s="5"/>
    </row>
    <row r="118" ht="14.25" customHeight="1">
      <c r="A118" s="5"/>
      <c r="B118" s="5"/>
      <c r="C118" s="6"/>
      <c r="D118" s="6"/>
      <c r="E118" s="6"/>
      <c r="F118" s="5"/>
      <c r="G118" s="5"/>
      <c r="H118" s="5"/>
      <c r="I118" s="6"/>
      <c r="J118" s="6"/>
      <c r="K118" s="6"/>
      <c r="L118" s="5"/>
      <c r="M118" s="5"/>
      <c r="N118" s="5"/>
      <c r="O118" s="6"/>
      <c r="P118" s="6"/>
      <c r="Q118" s="6"/>
      <c r="R118" s="5"/>
      <c r="S118" s="5"/>
      <c r="T118" s="5"/>
      <c r="U118" s="5"/>
      <c r="V118" s="5"/>
      <c r="W118" s="5"/>
    </row>
    <row r="119" ht="14.25" customHeight="1">
      <c r="A119" s="5"/>
      <c r="B119" s="5"/>
      <c r="C119" s="6"/>
      <c r="D119" s="6"/>
      <c r="E119" s="6"/>
      <c r="F119" s="5"/>
      <c r="G119" s="5"/>
      <c r="H119" s="5"/>
      <c r="I119" s="6"/>
      <c r="J119" s="6"/>
      <c r="K119" s="6"/>
      <c r="L119" s="5"/>
      <c r="M119" s="5"/>
      <c r="N119" s="5"/>
      <c r="O119" s="6"/>
      <c r="P119" s="6"/>
      <c r="Q119" s="6"/>
      <c r="R119" s="5"/>
      <c r="S119" s="5"/>
      <c r="T119" s="5"/>
      <c r="U119" s="5"/>
      <c r="V119" s="5"/>
      <c r="W119" s="5"/>
    </row>
    <row r="120" ht="14.25" customHeight="1">
      <c r="A120" s="5"/>
      <c r="B120" s="5"/>
      <c r="C120" s="6"/>
      <c r="D120" s="6"/>
      <c r="E120" s="6"/>
      <c r="F120" s="5"/>
      <c r="G120" s="5"/>
      <c r="H120" s="5"/>
      <c r="I120" s="6"/>
      <c r="J120" s="6"/>
      <c r="K120" s="6"/>
      <c r="L120" s="5"/>
      <c r="M120" s="5"/>
      <c r="N120" s="5"/>
      <c r="O120" s="6"/>
      <c r="P120" s="6"/>
      <c r="Q120" s="6"/>
      <c r="R120" s="5"/>
      <c r="S120" s="5"/>
      <c r="T120" s="5"/>
      <c r="U120" s="5"/>
      <c r="V120" s="5"/>
      <c r="W120" s="5"/>
    </row>
    <row r="121" ht="14.25" customHeight="1">
      <c r="A121" s="5"/>
      <c r="B121" s="5"/>
      <c r="C121" s="6"/>
      <c r="D121" s="6"/>
      <c r="E121" s="6"/>
      <c r="F121" s="5"/>
      <c r="G121" s="5"/>
      <c r="H121" s="5"/>
      <c r="I121" s="6"/>
      <c r="J121" s="6"/>
      <c r="K121" s="6"/>
      <c r="L121" s="5"/>
      <c r="M121" s="5"/>
      <c r="N121" s="5"/>
      <c r="O121" s="6"/>
      <c r="P121" s="6"/>
      <c r="Q121" s="6"/>
      <c r="R121" s="5"/>
      <c r="S121" s="5"/>
      <c r="T121" s="5"/>
      <c r="U121" s="5"/>
      <c r="V121" s="5"/>
      <c r="W121" s="5"/>
    </row>
    <row r="122" ht="14.25" customHeight="1">
      <c r="A122" s="5"/>
      <c r="B122" s="5"/>
      <c r="C122" s="6"/>
      <c r="D122" s="6"/>
      <c r="E122" s="6"/>
      <c r="F122" s="5"/>
      <c r="G122" s="5"/>
      <c r="H122" s="5"/>
      <c r="I122" s="6"/>
      <c r="J122" s="6"/>
      <c r="K122" s="6"/>
      <c r="L122" s="5"/>
      <c r="M122" s="5"/>
      <c r="N122" s="5"/>
      <c r="O122" s="6"/>
      <c r="P122" s="6"/>
      <c r="Q122" s="6"/>
      <c r="R122" s="5"/>
      <c r="S122" s="5"/>
      <c r="T122" s="5"/>
      <c r="U122" s="5"/>
      <c r="V122" s="5"/>
      <c r="W122" s="5"/>
    </row>
    <row r="123" ht="14.25" customHeight="1">
      <c r="A123" s="5"/>
      <c r="B123" s="5"/>
      <c r="C123" s="6"/>
      <c r="D123" s="6"/>
      <c r="E123" s="6"/>
      <c r="F123" s="5"/>
      <c r="G123" s="5"/>
      <c r="H123" s="5"/>
      <c r="I123" s="6"/>
      <c r="J123" s="6"/>
      <c r="K123" s="6"/>
      <c r="L123" s="5"/>
      <c r="M123" s="5"/>
      <c r="N123" s="5"/>
      <c r="O123" s="6"/>
      <c r="P123" s="6"/>
      <c r="Q123" s="6"/>
      <c r="R123" s="5"/>
      <c r="S123" s="5"/>
      <c r="T123" s="5"/>
      <c r="U123" s="5"/>
      <c r="V123" s="5"/>
      <c r="W123" s="5"/>
    </row>
    <row r="124" ht="14.25" customHeight="1">
      <c r="A124" s="5"/>
      <c r="B124" s="5"/>
      <c r="C124" s="6"/>
      <c r="D124" s="6"/>
      <c r="E124" s="6"/>
      <c r="F124" s="5"/>
      <c r="G124" s="5"/>
      <c r="H124" s="5"/>
      <c r="I124" s="6"/>
      <c r="J124" s="6"/>
      <c r="K124" s="6"/>
      <c r="L124" s="5"/>
      <c r="M124" s="5"/>
      <c r="N124" s="5"/>
      <c r="O124" s="6"/>
      <c r="P124" s="6"/>
      <c r="Q124" s="6"/>
      <c r="R124" s="5"/>
      <c r="S124" s="5"/>
      <c r="T124" s="5"/>
      <c r="U124" s="5"/>
      <c r="V124" s="5"/>
      <c r="W124" s="5"/>
    </row>
    <row r="125" ht="14.25" customHeight="1">
      <c r="A125" s="5"/>
      <c r="B125" s="5"/>
      <c r="C125" s="6"/>
      <c r="D125" s="6"/>
      <c r="E125" s="6"/>
      <c r="F125" s="5"/>
      <c r="G125" s="5"/>
      <c r="H125" s="5"/>
      <c r="I125" s="6"/>
      <c r="J125" s="6"/>
      <c r="K125" s="6"/>
      <c r="L125" s="5"/>
      <c r="M125" s="5"/>
      <c r="N125" s="5"/>
      <c r="O125" s="6"/>
      <c r="P125" s="6"/>
      <c r="Q125" s="6"/>
      <c r="R125" s="5"/>
      <c r="S125" s="5"/>
      <c r="T125" s="5"/>
      <c r="U125" s="5"/>
      <c r="V125" s="5"/>
      <c r="W125" s="5"/>
    </row>
    <row r="126" ht="14.25" customHeight="1">
      <c r="A126" s="5"/>
      <c r="B126" s="5"/>
      <c r="C126" s="6"/>
      <c r="D126" s="6"/>
      <c r="E126" s="6"/>
      <c r="F126" s="5"/>
      <c r="G126" s="5"/>
      <c r="H126" s="5"/>
      <c r="I126" s="6"/>
      <c r="J126" s="6"/>
      <c r="K126" s="6"/>
      <c r="L126" s="5"/>
      <c r="M126" s="5"/>
      <c r="N126" s="5"/>
      <c r="O126" s="6"/>
      <c r="P126" s="6"/>
      <c r="Q126" s="6"/>
      <c r="R126" s="5"/>
      <c r="S126" s="5"/>
      <c r="T126" s="5"/>
      <c r="U126" s="5"/>
      <c r="V126" s="5"/>
      <c r="W126" s="5"/>
    </row>
    <row r="127" ht="14.25" customHeight="1">
      <c r="A127" s="5"/>
      <c r="B127" s="5"/>
      <c r="C127" s="6"/>
      <c r="D127" s="6"/>
      <c r="E127" s="6"/>
      <c r="F127" s="5"/>
      <c r="G127" s="5"/>
      <c r="H127" s="5"/>
      <c r="I127" s="6"/>
      <c r="J127" s="6"/>
      <c r="K127" s="6"/>
      <c r="L127" s="5"/>
      <c r="M127" s="5"/>
      <c r="N127" s="5"/>
      <c r="O127" s="6"/>
      <c r="P127" s="6"/>
      <c r="Q127" s="6"/>
      <c r="R127" s="5"/>
      <c r="S127" s="5"/>
      <c r="T127" s="5"/>
      <c r="U127" s="5"/>
      <c r="V127" s="5"/>
      <c r="W127" s="5"/>
    </row>
    <row r="128" ht="14.25" customHeight="1">
      <c r="A128" s="5"/>
      <c r="B128" s="5"/>
      <c r="C128" s="6"/>
      <c r="D128" s="6"/>
      <c r="E128" s="6"/>
      <c r="F128" s="5"/>
      <c r="G128" s="5"/>
      <c r="H128" s="5"/>
      <c r="I128" s="6"/>
      <c r="J128" s="6"/>
      <c r="K128" s="6"/>
      <c r="L128" s="5"/>
      <c r="M128" s="5"/>
      <c r="N128" s="5"/>
      <c r="O128" s="6"/>
      <c r="P128" s="6"/>
      <c r="Q128" s="6"/>
      <c r="R128" s="5"/>
      <c r="S128" s="5"/>
      <c r="T128" s="5"/>
      <c r="U128" s="5"/>
      <c r="V128" s="5"/>
      <c r="W128" s="5"/>
    </row>
    <row r="129" ht="14.25" customHeight="1">
      <c r="A129" s="5"/>
      <c r="B129" s="5"/>
      <c r="C129" s="6"/>
      <c r="D129" s="6"/>
      <c r="E129" s="6"/>
      <c r="F129" s="5"/>
      <c r="G129" s="5"/>
      <c r="H129" s="5"/>
      <c r="I129" s="6"/>
      <c r="J129" s="6"/>
      <c r="K129" s="6"/>
      <c r="L129" s="5"/>
      <c r="M129" s="5"/>
      <c r="N129" s="5"/>
      <c r="O129" s="6"/>
      <c r="P129" s="6"/>
      <c r="Q129" s="6"/>
      <c r="R129" s="5"/>
      <c r="S129" s="5"/>
      <c r="T129" s="5"/>
      <c r="U129" s="5"/>
      <c r="V129" s="5"/>
      <c r="W129" s="5"/>
    </row>
    <row r="130" ht="14.25" customHeight="1">
      <c r="A130" s="5"/>
      <c r="B130" s="5"/>
      <c r="C130" s="6"/>
      <c r="D130" s="6"/>
      <c r="E130" s="6"/>
      <c r="F130" s="5"/>
      <c r="G130" s="5"/>
      <c r="H130" s="5"/>
      <c r="I130" s="6"/>
      <c r="J130" s="6"/>
      <c r="K130" s="6"/>
      <c r="L130" s="5"/>
      <c r="M130" s="5"/>
      <c r="N130" s="5"/>
      <c r="O130" s="6"/>
      <c r="P130" s="6"/>
      <c r="Q130" s="6"/>
      <c r="R130" s="5"/>
      <c r="S130" s="5"/>
      <c r="T130" s="5"/>
      <c r="U130" s="5"/>
      <c r="V130" s="5"/>
      <c r="W130" s="5"/>
    </row>
    <row r="131" ht="14.25" customHeight="1">
      <c r="A131" s="5"/>
      <c r="B131" s="5"/>
      <c r="C131" s="6"/>
      <c r="D131" s="6"/>
      <c r="E131" s="6"/>
      <c r="F131" s="5"/>
      <c r="G131" s="5"/>
      <c r="H131" s="5"/>
      <c r="I131" s="6"/>
      <c r="J131" s="6"/>
      <c r="K131" s="6"/>
      <c r="L131" s="5"/>
      <c r="M131" s="5"/>
      <c r="N131" s="5"/>
      <c r="O131" s="6"/>
      <c r="P131" s="6"/>
      <c r="Q131" s="6"/>
      <c r="R131" s="5"/>
      <c r="S131" s="5"/>
      <c r="T131" s="5"/>
      <c r="U131" s="5"/>
      <c r="V131" s="5"/>
      <c r="W131" s="5"/>
    </row>
    <row r="132" ht="14.25" customHeight="1">
      <c r="A132" s="5"/>
      <c r="B132" s="5"/>
      <c r="C132" s="6"/>
      <c r="D132" s="6"/>
      <c r="E132" s="6"/>
      <c r="F132" s="5"/>
      <c r="G132" s="5"/>
      <c r="H132" s="5"/>
      <c r="I132" s="6"/>
      <c r="J132" s="6"/>
      <c r="K132" s="6"/>
      <c r="L132" s="5"/>
      <c r="M132" s="5"/>
      <c r="N132" s="5"/>
      <c r="O132" s="6"/>
      <c r="P132" s="6"/>
      <c r="Q132" s="6"/>
      <c r="R132" s="5"/>
      <c r="S132" s="5"/>
      <c r="T132" s="5"/>
      <c r="U132" s="5"/>
      <c r="V132" s="5"/>
      <c r="W132" s="5"/>
    </row>
    <row r="133" ht="14.25" customHeight="1">
      <c r="A133" s="5"/>
      <c r="B133" s="5"/>
      <c r="C133" s="6"/>
      <c r="D133" s="6"/>
      <c r="E133" s="6"/>
      <c r="F133" s="5"/>
      <c r="G133" s="5"/>
      <c r="H133" s="5"/>
      <c r="I133" s="6"/>
      <c r="J133" s="6"/>
      <c r="K133" s="6"/>
      <c r="L133" s="5"/>
      <c r="M133" s="5"/>
      <c r="N133" s="5"/>
      <c r="O133" s="6"/>
      <c r="P133" s="6"/>
      <c r="Q133" s="6"/>
      <c r="R133" s="5"/>
      <c r="S133" s="5"/>
      <c r="T133" s="5"/>
      <c r="U133" s="5"/>
      <c r="V133" s="5"/>
      <c r="W133" s="5"/>
    </row>
    <row r="134" ht="14.25" customHeight="1">
      <c r="A134" s="5"/>
      <c r="B134" s="5"/>
      <c r="C134" s="6"/>
      <c r="D134" s="6"/>
      <c r="E134" s="6"/>
      <c r="F134" s="5"/>
      <c r="G134" s="5"/>
      <c r="H134" s="5"/>
      <c r="I134" s="6"/>
      <c r="J134" s="6"/>
      <c r="K134" s="6"/>
      <c r="L134" s="5"/>
      <c r="M134" s="5"/>
      <c r="N134" s="5"/>
      <c r="O134" s="6"/>
      <c r="P134" s="6"/>
      <c r="Q134" s="6"/>
      <c r="R134" s="5"/>
      <c r="S134" s="5"/>
      <c r="T134" s="5"/>
      <c r="U134" s="5"/>
      <c r="V134" s="5"/>
      <c r="W134" s="5"/>
    </row>
    <row r="135" ht="14.25" customHeight="1">
      <c r="A135" s="5"/>
      <c r="B135" s="5"/>
      <c r="C135" s="6"/>
      <c r="D135" s="6"/>
      <c r="E135" s="6"/>
      <c r="F135" s="5"/>
      <c r="G135" s="5"/>
      <c r="H135" s="5"/>
      <c r="I135" s="6"/>
      <c r="J135" s="6"/>
      <c r="K135" s="6"/>
      <c r="L135" s="5"/>
      <c r="M135" s="5"/>
      <c r="N135" s="5"/>
      <c r="O135" s="6"/>
      <c r="P135" s="6"/>
      <c r="Q135" s="6"/>
      <c r="R135" s="5"/>
      <c r="S135" s="5"/>
      <c r="T135" s="5"/>
      <c r="U135" s="5"/>
      <c r="V135" s="5"/>
      <c r="W135" s="5"/>
    </row>
    <row r="136" ht="14.25" customHeight="1">
      <c r="A136" s="5"/>
      <c r="B136" s="5"/>
      <c r="C136" s="6"/>
      <c r="D136" s="6"/>
      <c r="E136" s="6"/>
      <c r="F136" s="5"/>
      <c r="G136" s="5"/>
      <c r="H136" s="5"/>
      <c r="I136" s="6"/>
      <c r="J136" s="6"/>
      <c r="K136" s="6"/>
      <c r="L136" s="5"/>
      <c r="M136" s="5"/>
      <c r="N136" s="5"/>
      <c r="O136" s="6"/>
      <c r="P136" s="6"/>
      <c r="Q136" s="6"/>
      <c r="R136" s="5"/>
      <c r="S136" s="5"/>
      <c r="T136" s="5"/>
      <c r="U136" s="5"/>
      <c r="V136" s="5"/>
      <c r="W136" s="5"/>
    </row>
    <row r="137" ht="14.25" customHeight="1">
      <c r="A137" s="5"/>
      <c r="B137" s="5"/>
      <c r="C137" s="6"/>
      <c r="D137" s="6"/>
      <c r="E137" s="6"/>
      <c r="F137" s="5"/>
      <c r="G137" s="5"/>
      <c r="H137" s="5"/>
      <c r="I137" s="6"/>
      <c r="J137" s="6"/>
      <c r="K137" s="6"/>
      <c r="L137" s="5"/>
      <c r="M137" s="5"/>
      <c r="N137" s="5"/>
      <c r="O137" s="6"/>
      <c r="P137" s="6"/>
      <c r="Q137" s="6"/>
      <c r="R137" s="5"/>
      <c r="S137" s="5"/>
      <c r="T137" s="5"/>
      <c r="U137" s="5"/>
      <c r="V137" s="5"/>
      <c r="W137" s="5"/>
    </row>
    <row r="138" ht="14.25" customHeight="1">
      <c r="A138" s="5"/>
      <c r="B138" s="5"/>
      <c r="C138" s="6"/>
      <c r="D138" s="6"/>
      <c r="E138" s="6"/>
      <c r="F138" s="5"/>
      <c r="G138" s="5"/>
      <c r="H138" s="5"/>
      <c r="I138" s="6"/>
      <c r="J138" s="6"/>
      <c r="K138" s="6"/>
      <c r="L138" s="5"/>
      <c r="M138" s="5"/>
      <c r="N138" s="5"/>
      <c r="O138" s="6"/>
      <c r="P138" s="6"/>
      <c r="Q138" s="6"/>
      <c r="R138" s="5"/>
      <c r="S138" s="5"/>
      <c r="T138" s="5"/>
      <c r="U138" s="5"/>
      <c r="V138" s="5"/>
      <c r="W138" s="5"/>
    </row>
    <row r="139" ht="14.25" customHeight="1">
      <c r="A139" s="5"/>
      <c r="B139" s="5"/>
      <c r="C139" s="6"/>
      <c r="D139" s="6"/>
      <c r="E139" s="6"/>
      <c r="F139" s="5"/>
      <c r="G139" s="5"/>
      <c r="H139" s="5"/>
      <c r="I139" s="6"/>
      <c r="J139" s="6"/>
      <c r="K139" s="6"/>
      <c r="L139" s="5"/>
      <c r="M139" s="5"/>
      <c r="N139" s="5"/>
      <c r="O139" s="6"/>
      <c r="P139" s="6"/>
      <c r="Q139" s="6"/>
      <c r="R139" s="5"/>
      <c r="S139" s="5"/>
      <c r="T139" s="5"/>
      <c r="U139" s="5"/>
      <c r="V139" s="5"/>
      <c r="W139" s="5"/>
    </row>
    <row r="140" ht="14.25" customHeight="1">
      <c r="A140" s="5"/>
      <c r="B140" s="5"/>
      <c r="C140" s="6"/>
      <c r="D140" s="6"/>
      <c r="E140" s="6"/>
      <c r="F140" s="5"/>
      <c r="G140" s="5"/>
      <c r="H140" s="5"/>
      <c r="I140" s="6"/>
      <c r="J140" s="6"/>
      <c r="K140" s="6"/>
      <c r="L140" s="5"/>
      <c r="M140" s="5"/>
      <c r="N140" s="5"/>
      <c r="O140" s="6"/>
      <c r="P140" s="6"/>
      <c r="Q140" s="6"/>
      <c r="R140" s="5"/>
      <c r="S140" s="5"/>
      <c r="T140" s="5"/>
      <c r="U140" s="5"/>
      <c r="V140" s="5"/>
      <c r="W140" s="5"/>
    </row>
    <row r="141" ht="14.25" customHeight="1">
      <c r="A141" s="5"/>
      <c r="B141" s="5"/>
      <c r="C141" s="6"/>
      <c r="D141" s="6"/>
      <c r="E141" s="6"/>
      <c r="F141" s="5"/>
      <c r="G141" s="5"/>
      <c r="H141" s="5"/>
      <c r="I141" s="6"/>
      <c r="J141" s="6"/>
      <c r="K141" s="6"/>
      <c r="L141" s="5"/>
      <c r="M141" s="5"/>
      <c r="N141" s="5"/>
      <c r="O141" s="6"/>
      <c r="P141" s="6"/>
      <c r="Q141" s="6"/>
      <c r="R141" s="5"/>
      <c r="S141" s="5"/>
      <c r="T141" s="5"/>
      <c r="U141" s="5"/>
      <c r="V141" s="5"/>
      <c r="W141" s="5"/>
    </row>
    <row r="142" ht="14.25" customHeight="1">
      <c r="A142" s="5"/>
      <c r="B142" s="5"/>
      <c r="C142" s="6"/>
      <c r="D142" s="6"/>
      <c r="E142" s="6"/>
      <c r="F142" s="5"/>
      <c r="G142" s="5"/>
      <c r="H142" s="5"/>
      <c r="I142" s="6"/>
      <c r="J142" s="6"/>
      <c r="K142" s="6"/>
      <c r="L142" s="5"/>
      <c r="M142" s="5"/>
      <c r="N142" s="5"/>
      <c r="O142" s="6"/>
      <c r="P142" s="6"/>
      <c r="Q142" s="6"/>
      <c r="R142" s="5"/>
      <c r="S142" s="5"/>
      <c r="T142" s="5"/>
      <c r="U142" s="5"/>
      <c r="V142" s="5"/>
      <c r="W142" s="5"/>
    </row>
    <row r="143" ht="14.25" customHeight="1">
      <c r="A143" s="5"/>
      <c r="B143" s="5"/>
      <c r="C143" s="6"/>
      <c r="D143" s="6"/>
      <c r="E143" s="6"/>
      <c r="F143" s="5"/>
      <c r="G143" s="5"/>
      <c r="H143" s="5"/>
      <c r="I143" s="6"/>
      <c r="J143" s="6"/>
      <c r="K143" s="6"/>
      <c r="L143" s="5"/>
      <c r="M143" s="5"/>
      <c r="N143" s="5"/>
      <c r="O143" s="6"/>
      <c r="P143" s="6"/>
      <c r="Q143" s="6"/>
      <c r="R143" s="5"/>
      <c r="S143" s="5"/>
      <c r="T143" s="5"/>
      <c r="U143" s="5"/>
      <c r="V143" s="5"/>
      <c r="W143" s="5"/>
    </row>
    <row r="144" ht="14.25" customHeight="1">
      <c r="A144" s="5"/>
      <c r="B144" s="5"/>
      <c r="C144" s="6"/>
      <c r="D144" s="6"/>
      <c r="E144" s="6"/>
      <c r="F144" s="5"/>
      <c r="G144" s="5"/>
      <c r="H144" s="5"/>
      <c r="I144" s="6"/>
      <c r="J144" s="6"/>
      <c r="K144" s="6"/>
      <c r="L144" s="5"/>
      <c r="M144" s="5"/>
      <c r="N144" s="5"/>
      <c r="O144" s="6"/>
      <c r="P144" s="6"/>
      <c r="Q144" s="6"/>
      <c r="R144" s="5"/>
      <c r="S144" s="5"/>
      <c r="T144" s="5"/>
      <c r="U144" s="5"/>
      <c r="V144" s="5"/>
      <c r="W144" s="5"/>
    </row>
    <row r="145" ht="14.25" customHeight="1">
      <c r="A145" s="5"/>
      <c r="B145" s="5"/>
      <c r="C145" s="6"/>
      <c r="D145" s="6"/>
      <c r="E145" s="6"/>
      <c r="F145" s="5"/>
      <c r="G145" s="5"/>
      <c r="H145" s="5"/>
      <c r="I145" s="6"/>
      <c r="J145" s="6"/>
      <c r="K145" s="6"/>
      <c r="L145" s="5"/>
      <c r="M145" s="5"/>
      <c r="N145" s="5"/>
      <c r="O145" s="6"/>
      <c r="P145" s="6"/>
      <c r="Q145" s="6"/>
      <c r="R145" s="5"/>
      <c r="S145" s="5"/>
      <c r="T145" s="5"/>
      <c r="U145" s="5"/>
      <c r="V145" s="5"/>
      <c r="W145" s="5"/>
    </row>
    <row r="146" ht="14.25" customHeight="1">
      <c r="A146" s="5"/>
      <c r="B146" s="5"/>
      <c r="C146" s="6"/>
      <c r="D146" s="6"/>
      <c r="E146" s="6"/>
      <c r="F146" s="5"/>
      <c r="G146" s="5"/>
      <c r="H146" s="5"/>
      <c r="I146" s="6"/>
      <c r="J146" s="6"/>
      <c r="K146" s="6"/>
      <c r="L146" s="5"/>
      <c r="M146" s="5"/>
      <c r="N146" s="5"/>
      <c r="O146" s="6"/>
      <c r="P146" s="6"/>
      <c r="Q146" s="6"/>
      <c r="R146" s="5"/>
      <c r="S146" s="5"/>
      <c r="T146" s="5"/>
      <c r="U146" s="5"/>
      <c r="V146" s="5"/>
      <c r="W146" s="5"/>
    </row>
    <row r="147" ht="14.25" customHeight="1">
      <c r="A147" s="5"/>
      <c r="B147" s="5"/>
      <c r="C147" s="6"/>
      <c r="D147" s="6"/>
      <c r="E147" s="6"/>
      <c r="F147" s="5"/>
      <c r="G147" s="5"/>
      <c r="H147" s="5"/>
      <c r="I147" s="6"/>
      <c r="J147" s="6"/>
      <c r="K147" s="6"/>
      <c r="L147" s="5"/>
      <c r="M147" s="5"/>
      <c r="N147" s="5"/>
      <c r="O147" s="6"/>
      <c r="P147" s="6"/>
      <c r="Q147" s="6"/>
      <c r="R147" s="5"/>
      <c r="S147" s="5"/>
      <c r="T147" s="5"/>
      <c r="U147" s="5"/>
      <c r="V147" s="5"/>
      <c r="W147" s="5"/>
    </row>
    <row r="148" ht="14.25" customHeight="1">
      <c r="A148" s="5"/>
      <c r="B148" s="5"/>
      <c r="C148" s="6"/>
      <c r="D148" s="6"/>
      <c r="E148" s="6"/>
      <c r="F148" s="5"/>
      <c r="G148" s="5"/>
      <c r="H148" s="5"/>
      <c r="I148" s="6"/>
      <c r="J148" s="6"/>
      <c r="K148" s="6"/>
      <c r="L148" s="5"/>
      <c r="M148" s="5"/>
      <c r="N148" s="5"/>
      <c r="O148" s="6"/>
      <c r="P148" s="6"/>
      <c r="Q148" s="6"/>
      <c r="R148" s="5"/>
      <c r="S148" s="5"/>
      <c r="T148" s="5"/>
      <c r="U148" s="5"/>
      <c r="V148" s="5"/>
      <c r="W148" s="5"/>
    </row>
    <row r="149" ht="14.25" customHeight="1">
      <c r="A149" s="5"/>
      <c r="B149" s="5"/>
      <c r="C149" s="6"/>
      <c r="D149" s="6"/>
      <c r="E149" s="6"/>
      <c r="F149" s="5"/>
      <c r="G149" s="5"/>
      <c r="H149" s="5"/>
      <c r="I149" s="6"/>
      <c r="J149" s="6"/>
      <c r="K149" s="6"/>
      <c r="L149" s="5"/>
      <c r="M149" s="5"/>
      <c r="N149" s="5"/>
      <c r="O149" s="6"/>
      <c r="P149" s="6"/>
      <c r="Q149" s="6"/>
      <c r="R149" s="5"/>
      <c r="S149" s="5"/>
      <c r="T149" s="5"/>
      <c r="U149" s="5"/>
      <c r="V149" s="5"/>
      <c r="W149" s="5"/>
    </row>
    <row r="150" ht="14.25" customHeight="1">
      <c r="A150" s="5"/>
      <c r="B150" s="5"/>
      <c r="C150" s="6"/>
      <c r="D150" s="6"/>
      <c r="E150" s="6"/>
      <c r="F150" s="5"/>
      <c r="G150" s="5"/>
      <c r="H150" s="5"/>
      <c r="I150" s="6"/>
      <c r="J150" s="6"/>
      <c r="K150" s="6"/>
      <c r="L150" s="5"/>
      <c r="M150" s="5"/>
      <c r="N150" s="5"/>
      <c r="O150" s="6"/>
      <c r="P150" s="6"/>
      <c r="Q150" s="6"/>
      <c r="R150" s="5"/>
      <c r="S150" s="5"/>
      <c r="T150" s="5"/>
      <c r="U150" s="5"/>
      <c r="V150" s="5"/>
      <c r="W150" s="5"/>
    </row>
    <row r="151" ht="14.25" customHeight="1">
      <c r="A151" s="5"/>
      <c r="B151" s="5"/>
      <c r="C151" s="6"/>
      <c r="D151" s="6"/>
      <c r="E151" s="6"/>
      <c r="F151" s="5"/>
      <c r="G151" s="5"/>
      <c r="H151" s="5"/>
      <c r="I151" s="6"/>
      <c r="J151" s="6"/>
      <c r="K151" s="6"/>
      <c r="L151" s="5"/>
      <c r="M151" s="5"/>
      <c r="N151" s="5"/>
      <c r="O151" s="6"/>
      <c r="P151" s="6"/>
      <c r="Q151" s="6"/>
      <c r="R151" s="5"/>
      <c r="S151" s="5"/>
      <c r="T151" s="5"/>
      <c r="U151" s="5"/>
      <c r="V151" s="5"/>
      <c r="W151" s="5"/>
    </row>
    <row r="152" ht="14.25" customHeight="1">
      <c r="A152" s="5"/>
      <c r="B152" s="5"/>
      <c r="C152" s="6"/>
      <c r="D152" s="6"/>
      <c r="E152" s="6"/>
      <c r="F152" s="5"/>
      <c r="G152" s="5"/>
      <c r="H152" s="5"/>
      <c r="I152" s="6"/>
      <c r="J152" s="6"/>
      <c r="K152" s="6"/>
      <c r="L152" s="5"/>
      <c r="M152" s="5"/>
      <c r="N152" s="5"/>
      <c r="O152" s="6"/>
      <c r="P152" s="6"/>
      <c r="Q152" s="6"/>
      <c r="R152" s="5"/>
      <c r="S152" s="5"/>
      <c r="T152" s="5"/>
      <c r="U152" s="5"/>
      <c r="V152" s="5"/>
      <c r="W152" s="5"/>
    </row>
    <row r="153" ht="14.25" customHeight="1">
      <c r="A153" s="5"/>
      <c r="B153" s="5"/>
      <c r="C153" s="6"/>
      <c r="D153" s="6"/>
      <c r="E153" s="6"/>
      <c r="F153" s="5"/>
      <c r="G153" s="5"/>
      <c r="H153" s="5"/>
      <c r="I153" s="6"/>
      <c r="J153" s="6"/>
      <c r="K153" s="6"/>
      <c r="L153" s="5"/>
      <c r="M153" s="5"/>
      <c r="N153" s="5"/>
      <c r="O153" s="6"/>
      <c r="P153" s="6"/>
      <c r="Q153" s="6"/>
      <c r="R153" s="5"/>
      <c r="S153" s="5"/>
      <c r="T153" s="5"/>
      <c r="U153" s="5"/>
      <c r="V153" s="5"/>
      <c r="W153" s="5"/>
    </row>
    <row r="154" ht="14.25" customHeight="1">
      <c r="A154" s="5"/>
      <c r="B154" s="5"/>
      <c r="C154" s="6"/>
      <c r="D154" s="6"/>
      <c r="E154" s="6"/>
      <c r="F154" s="5"/>
      <c r="G154" s="5"/>
      <c r="H154" s="5"/>
      <c r="I154" s="6"/>
      <c r="J154" s="6"/>
      <c r="K154" s="6"/>
      <c r="L154" s="5"/>
      <c r="M154" s="5"/>
      <c r="N154" s="5"/>
      <c r="O154" s="6"/>
      <c r="P154" s="6"/>
      <c r="Q154" s="6"/>
      <c r="R154" s="5"/>
      <c r="S154" s="5"/>
      <c r="T154" s="5"/>
      <c r="U154" s="5"/>
      <c r="V154" s="5"/>
      <c r="W154" s="5"/>
    </row>
    <row r="155" ht="14.25" customHeight="1">
      <c r="A155" s="5"/>
      <c r="B155" s="5"/>
      <c r="C155" s="6"/>
      <c r="D155" s="6"/>
      <c r="E155" s="6"/>
      <c r="F155" s="5"/>
      <c r="G155" s="5"/>
      <c r="H155" s="5"/>
      <c r="I155" s="6"/>
      <c r="J155" s="6"/>
      <c r="K155" s="6"/>
      <c r="L155" s="5"/>
      <c r="M155" s="5"/>
      <c r="N155" s="5"/>
      <c r="O155" s="6"/>
      <c r="P155" s="6"/>
      <c r="Q155" s="6"/>
      <c r="R155" s="5"/>
      <c r="S155" s="5"/>
      <c r="T155" s="5"/>
      <c r="U155" s="5"/>
      <c r="V155" s="5"/>
      <c r="W155" s="5"/>
    </row>
    <row r="156" ht="14.25" customHeight="1">
      <c r="A156" s="5"/>
      <c r="B156" s="5"/>
      <c r="C156" s="6"/>
      <c r="D156" s="6"/>
      <c r="E156" s="6"/>
      <c r="F156" s="5"/>
      <c r="G156" s="5"/>
      <c r="H156" s="5"/>
      <c r="I156" s="6"/>
      <c r="J156" s="6"/>
      <c r="K156" s="6"/>
      <c r="L156" s="5"/>
      <c r="M156" s="5"/>
      <c r="N156" s="5"/>
      <c r="O156" s="6"/>
      <c r="P156" s="6"/>
      <c r="Q156" s="6"/>
      <c r="R156" s="5"/>
      <c r="S156" s="5"/>
      <c r="T156" s="5"/>
      <c r="U156" s="5"/>
      <c r="V156" s="5"/>
      <c r="W156" s="5"/>
    </row>
    <row r="157" ht="14.25" customHeight="1">
      <c r="A157" s="5"/>
      <c r="B157" s="5"/>
      <c r="C157" s="6"/>
      <c r="D157" s="6"/>
      <c r="E157" s="6"/>
      <c r="F157" s="5"/>
      <c r="G157" s="5"/>
      <c r="H157" s="5"/>
      <c r="I157" s="6"/>
      <c r="J157" s="6"/>
      <c r="K157" s="6"/>
      <c r="L157" s="5"/>
      <c r="M157" s="5"/>
      <c r="N157" s="5"/>
      <c r="O157" s="6"/>
      <c r="P157" s="6"/>
      <c r="Q157" s="6"/>
      <c r="R157" s="5"/>
      <c r="S157" s="5"/>
      <c r="T157" s="5"/>
      <c r="U157" s="5"/>
      <c r="V157" s="5"/>
      <c r="W157" s="5"/>
    </row>
    <row r="158" ht="14.25" customHeight="1">
      <c r="A158" s="5"/>
      <c r="B158" s="5"/>
      <c r="C158" s="6"/>
      <c r="D158" s="6"/>
      <c r="E158" s="6"/>
      <c r="F158" s="5"/>
      <c r="G158" s="5"/>
      <c r="H158" s="5"/>
      <c r="I158" s="6"/>
      <c r="J158" s="6"/>
      <c r="K158" s="6"/>
      <c r="L158" s="5"/>
      <c r="M158" s="5"/>
      <c r="N158" s="5"/>
      <c r="O158" s="6"/>
      <c r="P158" s="6"/>
      <c r="Q158" s="6"/>
      <c r="R158" s="5"/>
      <c r="S158" s="5"/>
      <c r="T158" s="5"/>
      <c r="U158" s="5"/>
      <c r="V158" s="5"/>
      <c r="W158" s="5"/>
    </row>
    <row r="159" ht="14.25" customHeight="1">
      <c r="A159" s="5"/>
      <c r="B159" s="5"/>
      <c r="C159" s="6"/>
      <c r="D159" s="6"/>
      <c r="E159" s="6"/>
      <c r="F159" s="5"/>
      <c r="G159" s="5"/>
      <c r="H159" s="5"/>
      <c r="I159" s="6"/>
      <c r="J159" s="6"/>
      <c r="K159" s="6"/>
      <c r="L159" s="5"/>
      <c r="M159" s="5"/>
      <c r="N159" s="5"/>
      <c r="O159" s="6"/>
      <c r="P159" s="6"/>
      <c r="Q159" s="6"/>
      <c r="R159" s="5"/>
      <c r="S159" s="5"/>
      <c r="T159" s="5"/>
      <c r="U159" s="5"/>
      <c r="V159" s="5"/>
      <c r="W159" s="5"/>
    </row>
    <row r="160" ht="14.25" customHeight="1">
      <c r="A160" s="5"/>
      <c r="B160" s="5"/>
      <c r="C160" s="6"/>
      <c r="D160" s="6"/>
      <c r="E160" s="6"/>
      <c r="F160" s="5"/>
      <c r="G160" s="5"/>
      <c r="H160" s="5"/>
      <c r="I160" s="6"/>
      <c r="J160" s="6"/>
      <c r="K160" s="6"/>
      <c r="L160" s="5"/>
      <c r="M160" s="5"/>
      <c r="N160" s="5"/>
      <c r="O160" s="6"/>
      <c r="P160" s="6"/>
      <c r="Q160" s="6"/>
      <c r="R160" s="5"/>
      <c r="S160" s="5"/>
      <c r="T160" s="5"/>
      <c r="U160" s="5"/>
      <c r="V160" s="5"/>
      <c r="W160" s="5"/>
    </row>
    <row r="161" ht="14.25" customHeight="1">
      <c r="A161" s="5"/>
      <c r="B161" s="5"/>
      <c r="C161" s="6"/>
      <c r="D161" s="6"/>
      <c r="E161" s="6"/>
      <c r="F161" s="5"/>
      <c r="G161" s="5"/>
      <c r="H161" s="5"/>
      <c r="I161" s="6"/>
      <c r="J161" s="6"/>
      <c r="K161" s="6"/>
      <c r="L161" s="5"/>
      <c r="M161" s="5"/>
      <c r="N161" s="5"/>
      <c r="O161" s="6"/>
      <c r="P161" s="6"/>
      <c r="Q161" s="6"/>
      <c r="R161" s="5"/>
      <c r="S161" s="5"/>
      <c r="T161" s="5"/>
      <c r="U161" s="5"/>
      <c r="V161" s="5"/>
      <c r="W161" s="5"/>
    </row>
    <row r="162" ht="14.25" customHeight="1">
      <c r="A162" s="5"/>
      <c r="B162" s="5"/>
      <c r="C162" s="6"/>
      <c r="D162" s="6"/>
      <c r="E162" s="6"/>
      <c r="F162" s="5"/>
      <c r="G162" s="5"/>
      <c r="H162" s="5"/>
      <c r="I162" s="6"/>
      <c r="J162" s="6"/>
      <c r="K162" s="6"/>
      <c r="L162" s="5"/>
      <c r="M162" s="5"/>
      <c r="N162" s="5"/>
      <c r="O162" s="6"/>
      <c r="P162" s="6"/>
      <c r="Q162" s="6"/>
      <c r="R162" s="5"/>
      <c r="S162" s="5"/>
      <c r="T162" s="5"/>
      <c r="U162" s="5"/>
      <c r="V162" s="5"/>
      <c r="W162" s="5"/>
    </row>
    <row r="163" ht="14.25" customHeight="1">
      <c r="A163" s="5"/>
      <c r="B163" s="5"/>
      <c r="C163" s="6"/>
      <c r="D163" s="6"/>
      <c r="E163" s="6"/>
      <c r="F163" s="5"/>
      <c r="G163" s="5"/>
      <c r="H163" s="5"/>
      <c r="I163" s="6"/>
      <c r="J163" s="6"/>
      <c r="K163" s="6"/>
      <c r="L163" s="5"/>
      <c r="M163" s="5"/>
      <c r="N163" s="5"/>
      <c r="O163" s="6"/>
      <c r="P163" s="6"/>
      <c r="Q163" s="6"/>
      <c r="R163" s="5"/>
      <c r="S163" s="5"/>
      <c r="T163" s="5"/>
      <c r="U163" s="5"/>
      <c r="V163" s="5"/>
      <c r="W163" s="5"/>
    </row>
    <row r="164" ht="14.25" customHeight="1">
      <c r="A164" s="5"/>
      <c r="B164" s="5"/>
      <c r="C164" s="6"/>
      <c r="D164" s="6"/>
      <c r="E164" s="6"/>
      <c r="F164" s="5"/>
      <c r="G164" s="5"/>
      <c r="H164" s="5"/>
      <c r="I164" s="6"/>
      <c r="J164" s="6"/>
      <c r="K164" s="6"/>
      <c r="L164" s="5"/>
      <c r="M164" s="5"/>
      <c r="N164" s="5"/>
      <c r="O164" s="6"/>
      <c r="P164" s="6"/>
      <c r="Q164" s="6"/>
      <c r="R164" s="5"/>
      <c r="S164" s="5"/>
      <c r="T164" s="5"/>
      <c r="U164" s="5"/>
      <c r="V164" s="5"/>
      <c r="W164" s="5"/>
    </row>
    <row r="165" ht="14.25" customHeight="1">
      <c r="A165" s="5"/>
      <c r="B165" s="5"/>
      <c r="C165" s="6"/>
      <c r="D165" s="6"/>
      <c r="E165" s="6"/>
      <c r="F165" s="5"/>
      <c r="G165" s="5"/>
      <c r="H165" s="5"/>
      <c r="I165" s="6"/>
      <c r="J165" s="6"/>
      <c r="K165" s="6"/>
      <c r="L165" s="5"/>
      <c r="M165" s="5"/>
      <c r="N165" s="5"/>
      <c r="O165" s="6"/>
      <c r="P165" s="6"/>
      <c r="Q165" s="6"/>
      <c r="R165" s="5"/>
      <c r="S165" s="5"/>
      <c r="T165" s="5"/>
      <c r="U165" s="5"/>
      <c r="V165" s="5"/>
      <c r="W165" s="5"/>
    </row>
    <row r="166" ht="14.25" customHeight="1">
      <c r="A166" s="5"/>
      <c r="B166" s="5"/>
      <c r="C166" s="6"/>
      <c r="D166" s="6"/>
      <c r="E166" s="6"/>
      <c r="F166" s="5"/>
      <c r="G166" s="5"/>
      <c r="H166" s="5"/>
      <c r="I166" s="6"/>
      <c r="J166" s="6"/>
      <c r="K166" s="6"/>
      <c r="L166" s="5"/>
      <c r="M166" s="5"/>
      <c r="N166" s="5"/>
      <c r="O166" s="6"/>
      <c r="P166" s="6"/>
      <c r="Q166" s="6"/>
      <c r="R166" s="5"/>
      <c r="S166" s="5"/>
      <c r="T166" s="5"/>
      <c r="U166" s="5"/>
      <c r="V166" s="5"/>
      <c r="W166" s="5"/>
    </row>
    <row r="167" ht="14.25" customHeight="1">
      <c r="A167" s="5"/>
      <c r="B167" s="5"/>
      <c r="C167" s="6"/>
      <c r="D167" s="6"/>
      <c r="E167" s="6"/>
      <c r="F167" s="5"/>
      <c r="G167" s="5"/>
      <c r="H167" s="5"/>
      <c r="I167" s="6"/>
      <c r="J167" s="6"/>
      <c r="K167" s="6"/>
      <c r="L167" s="5"/>
      <c r="M167" s="5"/>
      <c r="N167" s="5"/>
      <c r="O167" s="6"/>
      <c r="P167" s="6"/>
      <c r="Q167" s="6"/>
      <c r="R167" s="5"/>
      <c r="S167" s="5"/>
      <c r="T167" s="5"/>
      <c r="U167" s="5"/>
      <c r="V167" s="5"/>
      <c r="W167" s="5"/>
    </row>
    <row r="168" ht="14.25" customHeight="1">
      <c r="A168" s="5"/>
      <c r="B168" s="5"/>
      <c r="C168" s="6"/>
      <c r="D168" s="6"/>
      <c r="E168" s="6"/>
      <c r="F168" s="5"/>
      <c r="G168" s="5"/>
      <c r="H168" s="5"/>
      <c r="I168" s="6"/>
      <c r="J168" s="6"/>
      <c r="K168" s="6"/>
      <c r="L168" s="5"/>
      <c r="M168" s="5"/>
      <c r="N168" s="5"/>
      <c r="O168" s="6"/>
      <c r="P168" s="6"/>
      <c r="Q168" s="6"/>
      <c r="R168" s="5"/>
      <c r="S168" s="5"/>
      <c r="T168" s="5"/>
      <c r="U168" s="5"/>
      <c r="V168" s="5"/>
      <c r="W168" s="5"/>
    </row>
    <row r="169" ht="14.25" customHeight="1">
      <c r="A169" s="5"/>
      <c r="B169" s="5"/>
      <c r="C169" s="6"/>
      <c r="D169" s="6"/>
      <c r="E169" s="6"/>
      <c r="F169" s="5"/>
      <c r="G169" s="5"/>
      <c r="H169" s="5"/>
      <c r="I169" s="6"/>
      <c r="J169" s="6"/>
      <c r="K169" s="6"/>
      <c r="L169" s="5"/>
      <c r="M169" s="5"/>
      <c r="N169" s="5"/>
      <c r="O169" s="6"/>
      <c r="P169" s="6"/>
      <c r="Q169" s="6"/>
      <c r="R169" s="5"/>
      <c r="S169" s="5"/>
      <c r="T169" s="5"/>
      <c r="U169" s="5"/>
      <c r="V169" s="5"/>
      <c r="W169" s="5"/>
    </row>
    <row r="170" ht="14.25" customHeight="1">
      <c r="A170" s="5"/>
      <c r="B170" s="5"/>
      <c r="C170" s="6"/>
      <c r="D170" s="6"/>
      <c r="E170" s="6"/>
      <c r="F170" s="5"/>
      <c r="G170" s="5"/>
      <c r="H170" s="5"/>
      <c r="I170" s="6"/>
      <c r="J170" s="6"/>
      <c r="K170" s="6"/>
      <c r="L170" s="5"/>
      <c r="M170" s="5"/>
      <c r="N170" s="5"/>
      <c r="O170" s="6"/>
      <c r="P170" s="6"/>
      <c r="Q170" s="6"/>
      <c r="R170" s="5"/>
      <c r="S170" s="5"/>
      <c r="T170" s="5"/>
      <c r="U170" s="5"/>
      <c r="V170" s="5"/>
      <c r="W170" s="5"/>
    </row>
    <row r="171" ht="14.25" customHeight="1">
      <c r="A171" s="5"/>
      <c r="B171" s="5"/>
      <c r="C171" s="6"/>
      <c r="D171" s="6"/>
      <c r="E171" s="6"/>
      <c r="F171" s="5"/>
      <c r="G171" s="5"/>
      <c r="H171" s="5"/>
      <c r="I171" s="6"/>
      <c r="J171" s="6"/>
      <c r="K171" s="6"/>
      <c r="L171" s="5"/>
      <c r="M171" s="5"/>
      <c r="N171" s="5"/>
      <c r="O171" s="6"/>
      <c r="P171" s="6"/>
      <c r="Q171" s="6"/>
      <c r="R171" s="5"/>
      <c r="S171" s="5"/>
      <c r="T171" s="5"/>
      <c r="U171" s="5"/>
      <c r="V171" s="5"/>
      <c r="W171" s="5"/>
    </row>
    <row r="172" ht="14.25" customHeight="1">
      <c r="A172" s="5"/>
      <c r="B172" s="5"/>
      <c r="C172" s="6"/>
      <c r="D172" s="6"/>
      <c r="E172" s="6"/>
      <c r="F172" s="5"/>
      <c r="G172" s="5"/>
      <c r="H172" s="5"/>
      <c r="I172" s="6"/>
      <c r="J172" s="6"/>
      <c r="K172" s="6"/>
      <c r="L172" s="5"/>
      <c r="M172" s="5"/>
      <c r="N172" s="5"/>
      <c r="O172" s="6"/>
      <c r="P172" s="6"/>
      <c r="Q172" s="6"/>
      <c r="R172" s="5"/>
      <c r="S172" s="5"/>
      <c r="T172" s="5"/>
      <c r="U172" s="5"/>
      <c r="V172" s="5"/>
      <c r="W172" s="5"/>
    </row>
    <row r="173" ht="14.25" customHeight="1">
      <c r="A173" s="5"/>
      <c r="B173" s="5"/>
      <c r="C173" s="6"/>
      <c r="D173" s="6"/>
      <c r="E173" s="6"/>
      <c r="F173" s="5"/>
      <c r="G173" s="5"/>
      <c r="H173" s="5"/>
      <c r="I173" s="6"/>
      <c r="J173" s="6"/>
      <c r="K173" s="6"/>
      <c r="L173" s="5"/>
      <c r="M173" s="5"/>
      <c r="N173" s="5"/>
      <c r="O173" s="6"/>
      <c r="P173" s="6"/>
      <c r="Q173" s="6"/>
      <c r="R173" s="5"/>
      <c r="S173" s="5"/>
      <c r="T173" s="5"/>
      <c r="U173" s="5"/>
      <c r="V173" s="5"/>
      <c r="W173" s="5"/>
    </row>
    <row r="174" ht="14.25" customHeight="1">
      <c r="A174" s="5"/>
      <c r="B174" s="5"/>
      <c r="C174" s="6"/>
      <c r="D174" s="6"/>
      <c r="E174" s="6"/>
      <c r="F174" s="5"/>
      <c r="G174" s="5"/>
      <c r="H174" s="5"/>
      <c r="I174" s="6"/>
      <c r="J174" s="6"/>
      <c r="K174" s="6"/>
      <c r="L174" s="5"/>
      <c r="M174" s="5"/>
      <c r="N174" s="5"/>
      <c r="O174" s="6"/>
      <c r="P174" s="6"/>
      <c r="Q174" s="6"/>
      <c r="R174" s="5"/>
      <c r="S174" s="5"/>
      <c r="T174" s="5"/>
      <c r="U174" s="5"/>
      <c r="V174" s="5"/>
      <c r="W174" s="5"/>
    </row>
    <row r="175" ht="14.25" customHeight="1">
      <c r="A175" s="5"/>
      <c r="B175" s="5"/>
      <c r="C175" s="6"/>
      <c r="D175" s="6"/>
      <c r="E175" s="6"/>
      <c r="F175" s="5"/>
      <c r="G175" s="5"/>
      <c r="H175" s="5"/>
      <c r="I175" s="6"/>
      <c r="J175" s="6"/>
      <c r="K175" s="6"/>
      <c r="L175" s="5"/>
      <c r="M175" s="5"/>
      <c r="N175" s="5"/>
      <c r="O175" s="6"/>
      <c r="P175" s="6"/>
      <c r="Q175" s="6"/>
      <c r="R175" s="5"/>
      <c r="S175" s="5"/>
      <c r="T175" s="5"/>
      <c r="U175" s="5"/>
      <c r="V175" s="5"/>
      <c r="W175" s="5"/>
    </row>
    <row r="176" ht="14.25" customHeight="1">
      <c r="A176" s="5"/>
      <c r="B176" s="5"/>
      <c r="C176" s="6"/>
      <c r="D176" s="6"/>
      <c r="E176" s="6"/>
      <c r="F176" s="5"/>
      <c r="G176" s="5"/>
      <c r="H176" s="5"/>
      <c r="I176" s="6"/>
      <c r="J176" s="6"/>
      <c r="K176" s="6"/>
      <c r="L176" s="5"/>
      <c r="M176" s="5"/>
      <c r="N176" s="5"/>
      <c r="O176" s="6"/>
      <c r="P176" s="6"/>
      <c r="Q176" s="6"/>
      <c r="R176" s="5"/>
      <c r="S176" s="5"/>
      <c r="T176" s="5"/>
      <c r="U176" s="5"/>
      <c r="V176" s="5"/>
      <c r="W176" s="5"/>
    </row>
    <row r="177" ht="14.25" customHeight="1">
      <c r="A177" s="5"/>
      <c r="B177" s="5"/>
      <c r="C177" s="6"/>
      <c r="D177" s="6"/>
      <c r="E177" s="6"/>
      <c r="F177" s="5"/>
      <c r="G177" s="5"/>
      <c r="H177" s="5"/>
      <c r="I177" s="6"/>
      <c r="J177" s="6"/>
      <c r="K177" s="6"/>
      <c r="L177" s="5"/>
      <c r="M177" s="5"/>
      <c r="N177" s="5"/>
      <c r="O177" s="6"/>
      <c r="P177" s="6"/>
      <c r="Q177" s="6"/>
      <c r="R177" s="5"/>
      <c r="S177" s="5"/>
      <c r="T177" s="5"/>
      <c r="U177" s="5"/>
      <c r="V177" s="5"/>
      <c r="W177" s="5"/>
    </row>
    <row r="178" ht="14.25" customHeight="1">
      <c r="A178" s="5"/>
      <c r="B178" s="5"/>
      <c r="C178" s="6"/>
      <c r="D178" s="6"/>
      <c r="E178" s="6"/>
      <c r="F178" s="5"/>
      <c r="G178" s="5"/>
      <c r="H178" s="5"/>
      <c r="I178" s="6"/>
      <c r="J178" s="6"/>
      <c r="K178" s="6"/>
      <c r="L178" s="5"/>
      <c r="M178" s="5"/>
      <c r="N178" s="5"/>
      <c r="O178" s="6"/>
      <c r="P178" s="6"/>
      <c r="Q178" s="6"/>
      <c r="R178" s="5"/>
      <c r="S178" s="5"/>
      <c r="T178" s="5"/>
      <c r="U178" s="5"/>
      <c r="V178" s="5"/>
      <c r="W178" s="5"/>
    </row>
    <row r="179" ht="14.25" customHeight="1">
      <c r="A179" s="5"/>
      <c r="B179" s="5"/>
      <c r="C179" s="6"/>
      <c r="D179" s="6"/>
      <c r="E179" s="6"/>
      <c r="F179" s="5"/>
      <c r="G179" s="5"/>
      <c r="H179" s="5"/>
      <c r="I179" s="6"/>
      <c r="J179" s="6"/>
      <c r="K179" s="6"/>
      <c r="L179" s="5"/>
      <c r="M179" s="5"/>
      <c r="N179" s="5"/>
      <c r="O179" s="6"/>
      <c r="P179" s="6"/>
      <c r="Q179" s="6"/>
      <c r="R179" s="5"/>
      <c r="S179" s="5"/>
      <c r="T179" s="5"/>
      <c r="U179" s="5"/>
      <c r="V179" s="5"/>
      <c r="W179" s="5"/>
    </row>
    <row r="180" ht="14.25" customHeight="1">
      <c r="A180" s="5"/>
      <c r="B180" s="5"/>
      <c r="C180" s="6"/>
      <c r="D180" s="6"/>
      <c r="E180" s="6"/>
      <c r="F180" s="5"/>
      <c r="G180" s="5"/>
      <c r="H180" s="5"/>
      <c r="I180" s="6"/>
      <c r="J180" s="6"/>
      <c r="K180" s="6"/>
      <c r="L180" s="5"/>
      <c r="M180" s="5"/>
      <c r="N180" s="5"/>
      <c r="O180" s="6"/>
      <c r="P180" s="6"/>
      <c r="Q180" s="6"/>
      <c r="R180" s="5"/>
      <c r="S180" s="5"/>
      <c r="T180" s="5"/>
      <c r="U180" s="5"/>
      <c r="V180" s="5"/>
      <c r="W180" s="5"/>
    </row>
    <row r="181" ht="14.25" customHeight="1">
      <c r="A181" s="5"/>
      <c r="B181" s="5"/>
      <c r="C181" s="6"/>
      <c r="D181" s="6"/>
      <c r="E181" s="6"/>
      <c r="F181" s="5"/>
      <c r="G181" s="5"/>
      <c r="H181" s="5"/>
      <c r="I181" s="6"/>
      <c r="J181" s="6"/>
      <c r="K181" s="6"/>
      <c r="L181" s="5"/>
      <c r="M181" s="5"/>
      <c r="N181" s="5"/>
      <c r="O181" s="6"/>
      <c r="P181" s="6"/>
      <c r="Q181" s="6"/>
      <c r="R181" s="5"/>
      <c r="S181" s="5"/>
      <c r="T181" s="5"/>
      <c r="U181" s="5"/>
      <c r="V181" s="5"/>
      <c r="W181" s="5"/>
    </row>
    <row r="182" ht="14.25" customHeight="1">
      <c r="A182" s="5"/>
      <c r="B182" s="5"/>
      <c r="C182" s="6"/>
      <c r="D182" s="6"/>
      <c r="E182" s="6"/>
      <c r="F182" s="5"/>
      <c r="G182" s="5"/>
      <c r="H182" s="5"/>
      <c r="I182" s="6"/>
      <c r="J182" s="6"/>
      <c r="K182" s="6"/>
      <c r="L182" s="5"/>
      <c r="M182" s="5"/>
      <c r="N182" s="5"/>
      <c r="O182" s="6"/>
      <c r="P182" s="6"/>
      <c r="Q182" s="6"/>
      <c r="R182" s="5"/>
      <c r="S182" s="5"/>
      <c r="T182" s="5"/>
      <c r="U182" s="5"/>
      <c r="V182" s="5"/>
      <c r="W182" s="5"/>
    </row>
    <row r="183" ht="14.25" customHeight="1">
      <c r="A183" s="5"/>
      <c r="B183" s="5"/>
      <c r="C183" s="6"/>
      <c r="D183" s="6"/>
      <c r="E183" s="6"/>
      <c r="F183" s="5"/>
      <c r="G183" s="5"/>
      <c r="H183" s="5"/>
      <c r="I183" s="6"/>
      <c r="J183" s="6"/>
      <c r="K183" s="6"/>
      <c r="L183" s="5"/>
      <c r="M183" s="5"/>
      <c r="N183" s="5"/>
      <c r="O183" s="6"/>
      <c r="P183" s="6"/>
      <c r="Q183" s="6"/>
      <c r="R183" s="5"/>
      <c r="S183" s="5"/>
      <c r="T183" s="5"/>
      <c r="U183" s="5"/>
      <c r="V183" s="5"/>
      <c r="W183" s="5"/>
    </row>
    <row r="184" ht="14.25" customHeight="1">
      <c r="A184" s="5"/>
      <c r="B184" s="5"/>
      <c r="C184" s="6"/>
      <c r="D184" s="6"/>
      <c r="E184" s="6"/>
      <c r="F184" s="5"/>
      <c r="G184" s="5"/>
      <c r="H184" s="5"/>
      <c r="I184" s="6"/>
      <c r="J184" s="6"/>
      <c r="K184" s="6"/>
      <c r="L184" s="5"/>
      <c r="M184" s="5"/>
      <c r="N184" s="5"/>
      <c r="O184" s="6"/>
      <c r="P184" s="6"/>
      <c r="Q184" s="6"/>
      <c r="R184" s="5"/>
      <c r="S184" s="5"/>
      <c r="T184" s="5"/>
      <c r="U184" s="5"/>
      <c r="V184" s="5"/>
      <c r="W184" s="5"/>
    </row>
    <row r="185" ht="14.25" customHeight="1">
      <c r="A185" s="5"/>
      <c r="B185" s="5"/>
      <c r="C185" s="6"/>
      <c r="D185" s="6"/>
      <c r="E185" s="6"/>
      <c r="F185" s="5"/>
      <c r="G185" s="5"/>
      <c r="H185" s="5"/>
      <c r="I185" s="6"/>
      <c r="J185" s="6"/>
      <c r="K185" s="6"/>
      <c r="L185" s="5"/>
      <c r="M185" s="5"/>
      <c r="N185" s="5"/>
      <c r="O185" s="6"/>
      <c r="P185" s="6"/>
      <c r="Q185" s="6"/>
      <c r="R185" s="5"/>
      <c r="S185" s="5"/>
      <c r="T185" s="5"/>
      <c r="U185" s="5"/>
      <c r="V185" s="5"/>
      <c r="W185" s="5"/>
    </row>
    <row r="186" ht="14.25" customHeight="1">
      <c r="A186" s="5"/>
      <c r="B186" s="5"/>
      <c r="C186" s="6"/>
      <c r="D186" s="6"/>
      <c r="E186" s="6"/>
      <c r="F186" s="5"/>
      <c r="G186" s="5"/>
      <c r="H186" s="5"/>
      <c r="I186" s="6"/>
      <c r="J186" s="6"/>
      <c r="K186" s="6"/>
      <c r="L186" s="5"/>
      <c r="M186" s="5"/>
      <c r="N186" s="5"/>
      <c r="O186" s="6"/>
      <c r="P186" s="6"/>
      <c r="Q186" s="6"/>
      <c r="R186" s="5"/>
      <c r="S186" s="5"/>
      <c r="T186" s="5"/>
      <c r="U186" s="5"/>
      <c r="V186" s="5"/>
      <c r="W186" s="5"/>
    </row>
    <row r="187" ht="14.25" customHeight="1">
      <c r="A187" s="5"/>
      <c r="B187" s="5"/>
      <c r="C187" s="6"/>
      <c r="D187" s="6"/>
      <c r="E187" s="6"/>
      <c r="F187" s="5"/>
      <c r="G187" s="5"/>
      <c r="H187" s="5"/>
      <c r="I187" s="6"/>
      <c r="J187" s="6"/>
      <c r="K187" s="6"/>
      <c r="L187" s="5"/>
      <c r="M187" s="5"/>
      <c r="N187" s="5"/>
      <c r="O187" s="6"/>
      <c r="P187" s="6"/>
      <c r="Q187" s="6"/>
      <c r="R187" s="5"/>
      <c r="S187" s="5"/>
      <c r="T187" s="5"/>
      <c r="U187" s="5"/>
      <c r="V187" s="5"/>
      <c r="W187" s="5"/>
    </row>
    <row r="188" ht="14.25" customHeight="1">
      <c r="A188" s="5"/>
      <c r="B188" s="5"/>
      <c r="C188" s="6"/>
      <c r="D188" s="6"/>
      <c r="E188" s="6"/>
      <c r="F188" s="5"/>
      <c r="G188" s="5"/>
      <c r="H188" s="5"/>
      <c r="I188" s="6"/>
      <c r="J188" s="6"/>
      <c r="K188" s="6"/>
      <c r="L188" s="5"/>
      <c r="M188" s="5"/>
      <c r="N188" s="5"/>
      <c r="O188" s="6"/>
      <c r="P188" s="6"/>
      <c r="Q188" s="6"/>
      <c r="R188" s="5"/>
      <c r="S188" s="5"/>
      <c r="T188" s="5"/>
      <c r="U188" s="5"/>
      <c r="V188" s="5"/>
      <c r="W188" s="5"/>
    </row>
    <row r="189" ht="14.25" customHeight="1">
      <c r="A189" s="5"/>
      <c r="B189" s="5"/>
      <c r="C189" s="6"/>
      <c r="D189" s="6"/>
      <c r="E189" s="6"/>
      <c r="F189" s="5"/>
      <c r="G189" s="5"/>
      <c r="H189" s="5"/>
      <c r="I189" s="6"/>
      <c r="J189" s="6"/>
      <c r="K189" s="6"/>
      <c r="L189" s="5"/>
      <c r="M189" s="5"/>
      <c r="N189" s="5"/>
      <c r="O189" s="6"/>
      <c r="P189" s="6"/>
      <c r="Q189" s="6"/>
      <c r="R189" s="5"/>
      <c r="S189" s="5"/>
      <c r="T189" s="5"/>
      <c r="U189" s="5"/>
      <c r="V189" s="5"/>
      <c r="W189" s="5"/>
    </row>
    <row r="190" ht="14.25" customHeight="1">
      <c r="A190" s="5"/>
      <c r="B190" s="5"/>
      <c r="C190" s="6"/>
      <c r="D190" s="6"/>
      <c r="E190" s="6"/>
      <c r="F190" s="5"/>
      <c r="G190" s="5"/>
      <c r="H190" s="5"/>
      <c r="I190" s="6"/>
      <c r="J190" s="6"/>
      <c r="K190" s="6"/>
      <c r="L190" s="5"/>
      <c r="M190" s="5"/>
      <c r="N190" s="5"/>
      <c r="O190" s="6"/>
      <c r="P190" s="6"/>
      <c r="Q190" s="6"/>
      <c r="R190" s="5"/>
      <c r="S190" s="5"/>
      <c r="T190" s="5"/>
      <c r="U190" s="5"/>
      <c r="V190" s="5"/>
      <c r="W190" s="5"/>
    </row>
    <row r="191" ht="14.25" customHeight="1">
      <c r="A191" s="5"/>
      <c r="B191" s="5"/>
      <c r="C191" s="6"/>
      <c r="D191" s="6"/>
      <c r="E191" s="6"/>
      <c r="F191" s="5"/>
      <c r="G191" s="5"/>
      <c r="H191" s="5"/>
      <c r="I191" s="6"/>
      <c r="J191" s="6"/>
      <c r="K191" s="6"/>
      <c r="L191" s="5"/>
      <c r="M191" s="5"/>
      <c r="N191" s="5"/>
      <c r="O191" s="6"/>
      <c r="P191" s="6"/>
      <c r="Q191" s="6"/>
      <c r="R191" s="5"/>
      <c r="S191" s="5"/>
      <c r="T191" s="5"/>
      <c r="U191" s="5"/>
      <c r="V191" s="5"/>
      <c r="W191" s="5"/>
    </row>
    <row r="192" ht="14.25" customHeight="1">
      <c r="A192" s="5"/>
      <c r="B192" s="5"/>
      <c r="C192" s="6"/>
      <c r="D192" s="6"/>
      <c r="E192" s="6"/>
      <c r="F192" s="5"/>
      <c r="G192" s="5"/>
      <c r="H192" s="5"/>
      <c r="I192" s="6"/>
      <c r="J192" s="6"/>
      <c r="K192" s="6"/>
      <c r="L192" s="5"/>
      <c r="M192" s="5"/>
      <c r="N192" s="5"/>
      <c r="O192" s="6"/>
      <c r="P192" s="6"/>
      <c r="Q192" s="6"/>
      <c r="R192" s="5"/>
      <c r="S192" s="5"/>
      <c r="T192" s="5"/>
      <c r="U192" s="5"/>
      <c r="V192" s="5"/>
      <c r="W192" s="5"/>
    </row>
    <row r="193" ht="14.25" customHeight="1">
      <c r="A193" s="5"/>
      <c r="B193" s="5"/>
      <c r="C193" s="6"/>
      <c r="D193" s="6"/>
      <c r="E193" s="6"/>
      <c r="F193" s="5"/>
      <c r="G193" s="5"/>
      <c r="H193" s="5"/>
      <c r="I193" s="6"/>
      <c r="J193" s="6"/>
      <c r="K193" s="6"/>
      <c r="L193" s="5"/>
      <c r="M193" s="5"/>
      <c r="N193" s="5"/>
      <c r="O193" s="6"/>
      <c r="P193" s="6"/>
      <c r="Q193" s="6"/>
      <c r="R193" s="5"/>
      <c r="S193" s="5"/>
      <c r="T193" s="5"/>
      <c r="U193" s="5"/>
      <c r="V193" s="5"/>
      <c r="W193" s="5"/>
    </row>
    <row r="194" ht="14.25" customHeight="1">
      <c r="A194" s="5"/>
      <c r="B194" s="5"/>
      <c r="C194" s="6"/>
      <c r="D194" s="6"/>
      <c r="E194" s="6"/>
      <c r="F194" s="5"/>
      <c r="G194" s="5"/>
      <c r="H194" s="5"/>
      <c r="I194" s="6"/>
      <c r="J194" s="6"/>
      <c r="K194" s="6"/>
      <c r="L194" s="5"/>
      <c r="M194" s="5"/>
      <c r="N194" s="5"/>
      <c r="O194" s="6"/>
      <c r="P194" s="6"/>
      <c r="Q194" s="6"/>
      <c r="R194" s="5"/>
      <c r="S194" s="5"/>
      <c r="T194" s="5"/>
      <c r="U194" s="5"/>
      <c r="V194" s="5"/>
      <c r="W194" s="5"/>
    </row>
    <row r="195" ht="14.25" customHeight="1">
      <c r="A195" s="5"/>
      <c r="B195" s="5"/>
      <c r="C195" s="6"/>
      <c r="D195" s="6"/>
      <c r="E195" s="6"/>
      <c r="F195" s="5"/>
      <c r="G195" s="5"/>
      <c r="H195" s="5"/>
      <c r="I195" s="6"/>
      <c r="J195" s="6"/>
      <c r="K195" s="6"/>
      <c r="L195" s="5"/>
      <c r="M195" s="5"/>
      <c r="N195" s="5"/>
      <c r="O195" s="6"/>
      <c r="P195" s="6"/>
      <c r="Q195" s="6"/>
      <c r="R195" s="5"/>
      <c r="S195" s="5"/>
      <c r="T195" s="5"/>
      <c r="U195" s="5"/>
      <c r="V195" s="5"/>
      <c r="W195" s="5"/>
    </row>
    <row r="196" ht="14.25" customHeight="1">
      <c r="A196" s="5"/>
      <c r="B196" s="5"/>
      <c r="C196" s="6"/>
      <c r="D196" s="6"/>
      <c r="E196" s="6"/>
      <c r="F196" s="5"/>
      <c r="G196" s="5"/>
      <c r="H196" s="5"/>
      <c r="I196" s="6"/>
      <c r="J196" s="6"/>
      <c r="K196" s="6"/>
      <c r="L196" s="5"/>
      <c r="M196" s="5"/>
      <c r="N196" s="5"/>
      <c r="O196" s="6"/>
      <c r="P196" s="6"/>
      <c r="Q196" s="6"/>
      <c r="R196" s="5"/>
      <c r="S196" s="5"/>
      <c r="T196" s="5"/>
      <c r="U196" s="5"/>
      <c r="V196" s="5"/>
      <c r="W196" s="5"/>
    </row>
    <row r="197" ht="14.25" customHeight="1">
      <c r="A197" s="5"/>
      <c r="B197" s="5"/>
      <c r="C197" s="6"/>
      <c r="D197" s="6"/>
      <c r="E197" s="6"/>
      <c r="F197" s="5"/>
      <c r="G197" s="5"/>
      <c r="H197" s="5"/>
      <c r="I197" s="6"/>
      <c r="J197" s="6"/>
      <c r="K197" s="6"/>
      <c r="L197" s="5"/>
      <c r="M197" s="5"/>
      <c r="N197" s="5"/>
      <c r="O197" s="6"/>
      <c r="P197" s="6"/>
      <c r="Q197" s="6"/>
      <c r="R197" s="5"/>
      <c r="S197" s="5"/>
      <c r="T197" s="5"/>
      <c r="U197" s="5"/>
      <c r="V197" s="5"/>
      <c r="W197" s="5"/>
    </row>
    <row r="198" ht="14.25" customHeight="1">
      <c r="A198" s="5"/>
      <c r="B198" s="5"/>
      <c r="C198" s="6"/>
      <c r="D198" s="6"/>
      <c r="E198" s="6"/>
      <c r="F198" s="5"/>
      <c r="G198" s="5"/>
      <c r="H198" s="5"/>
      <c r="I198" s="6"/>
      <c r="J198" s="6"/>
      <c r="K198" s="6"/>
      <c r="L198" s="5"/>
      <c r="M198" s="5"/>
      <c r="N198" s="5"/>
      <c r="O198" s="6"/>
      <c r="P198" s="6"/>
      <c r="Q198" s="6"/>
      <c r="R198" s="5"/>
      <c r="S198" s="5"/>
      <c r="T198" s="5"/>
      <c r="U198" s="5"/>
      <c r="V198" s="5"/>
      <c r="W198" s="5"/>
    </row>
    <row r="199" ht="14.25" customHeight="1">
      <c r="A199" s="5"/>
      <c r="B199" s="5"/>
      <c r="C199" s="6"/>
      <c r="D199" s="6"/>
      <c r="E199" s="6"/>
      <c r="F199" s="5"/>
      <c r="G199" s="5"/>
      <c r="H199" s="5"/>
      <c r="I199" s="6"/>
      <c r="J199" s="6"/>
      <c r="K199" s="6"/>
      <c r="L199" s="5"/>
      <c r="M199" s="5"/>
      <c r="N199" s="5"/>
      <c r="O199" s="6"/>
      <c r="P199" s="6"/>
      <c r="Q199" s="6"/>
      <c r="R199" s="5"/>
      <c r="S199" s="5"/>
      <c r="T199" s="5"/>
      <c r="U199" s="5"/>
      <c r="V199" s="5"/>
      <c r="W199" s="5"/>
    </row>
    <row r="200" ht="14.25" customHeight="1">
      <c r="A200" s="5"/>
      <c r="B200" s="5"/>
      <c r="C200" s="6"/>
      <c r="D200" s="6"/>
      <c r="E200" s="6"/>
      <c r="F200" s="5"/>
      <c r="G200" s="5"/>
      <c r="H200" s="5"/>
      <c r="I200" s="6"/>
      <c r="J200" s="6"/>
      <c r="K200" s="6"/>
      <c r="L200" s="5"/>
      <c r="M200" s="5"/>
      <c r="N200" s="5"/>
      <c r="O200" s="6"/>
      <c r="P200" s="6"/>
      <c r="Q200" s="6"/>
      <c r="R200" s="5"/>
      <c r="S200" s="5"/>
      <c r="T200" s="5"/>
      <c r="U200" s="5"/>
      <c r="V200" s="5"/>
      <c r="W200" s="5"/>
    </row>
    <row r="201" ht="14.25" customHeight="1">
      <c r="A201" s="5"/>
      <c r="B201" s="5"/>
      <c r="C201" s="6"/>
      <c r="D201" s="6"/>
      <c r="E201" s="6"/>
      <c r="F201" s="5"/>
      <c r="G201" s="5"/>
      <c r="H201" s="5"/>
      <c r="I201" s="6"/>
      <c r="J201" s="6"/>
      <c r="K201" s="6"/>
      <c r="L201" s="5"/>
      <c r="M201" s="5"/>
      <c r="N201" s="5"/>
      <c r="O201" s="6"/>
      <c r="P201" s="6"/>
      <c r="Q201" s="6"/>
      <c r="R201" s="5"/>
      <c r="S201" s="5"/>
      <c r="T201" s="5"/>
      <c r="U201" s="5"/>
      <c r="V201" s="5"/>
      <c r="W201" s="5"/>
    </row>
    <row r="202" ht="14.25" customHeight="1">
      <c r="A202" s="5"/>
      <c r="B202" s="5"/>
      <c r="C202" s="6"/>
      <c r="D202" s="6"/>
      <c r="E202" s="6"/>
      <c r="F202" s="5"/>
      <c r="G202" s="5"/>
      <c r="H202" s="5"/>
      <c r="I202" s="6"/>
      <c r="J202" s="6"/>
      <c r="K202" s="6"/>
      <c r="L202" s="5"/>
      <c r="M202" s="5"/>
      <c r="N202" s="5"/>
      <c r="O202" s="6"/>
      <c r="P202" s="6"/>
      <c r="Q202" s="6"/>
      <c r="R202" s="5"/>
      <c r="S202" s="5"/>
      <c r="T202" s="5"/>
      <c r="U202" s="5"/>
      <c r="V202" s="5"/>
      <c r="W202" s="5"/>
    </row>
    <row r="203" ht="14.25" customHeight="1">
      <c r="A203" s="5"/>
      <c r="B203" s="5"/>
      <c r="C203" s="6"/>
      <c r="D203" s="6"/>
      <c r="E203" s="6"/>
      <c r="F203" s="5"/>
      <c r="G203" s="5"/>
      <c r="H203" s="5"/>
      <c r="I203" s="6"/>
      <c r="J203" s="6"/>
      <c r="K203" s="6"/>
      <c r="L203" s="5"/>
      <c r="M203" s="5"/>
      <c r="N203" s="5"/>
      <c r="O203" s="6"/>
      <c r="P203" s="6"/>
      <c r="Q203" s="6"/>
      <c r="R203" s="5"/>
      <c r="S203" s="5"/>
      <c r="T203" s="5"/>
      <c r="U203" s="5"/>
      <c r="V203" s="5"/>
      <c r="W203" s="5"/>
    </row>
    <row r="204" ht="14.25" customHeight="1">
      <c r="A204" s="5"/>
      <c r="B204" s="5"/>
      <c r="C204" s="6"/>
      <c r="D204" s="6"/>
      <c r="E204" s="6"/>
      <c r="F204" s="5"/>
      <c r="G204" s="5"/>
      <c r="H204" s="5"/>
      <c r="I204" s="6"/>
      <c r="J204" s="6"/>
      <c r="K204" s="6"/>
      <c r="L204" s="5"/>
      <c r="M204" s="5"/>
      <c r="N204" s="5"/>
      <c r="O204" s="6"/>
      <c r="P204" s="6"/>
      <c r="Q204" s="6"/>
      <c r="R204" s="5"/>
      <c r="S204" s="5"/>
      <c r="T204" s="5"/>
      <c r="U204" s="5"/>
      <c r="V204" s="5"/>
      <c r="W204" s="5"/>
    </row>
    <row r="205" ht="14.25" customHeight="1">
      <c r="A205" s="5"/>
      <c r="B205" s="5"/>
      <c r="C205" s="6"/>
      <c r="D205" s="6"/>
      <c r="E205" s="6"/>
      <c r="F205" s="5"/>
      <c r="G205" s="5"/>
      <c r="H205" s="5"/>
      <c r="I205" s="6"/>
      <c r="J205" s="6"/>
      <c r="K205" s="6"/>
      <c r="L205" s="5"/>
      <c r="M205" s="5"/>
      <c r="N205" s="5"/>
      <c r="O205" s="6"/>
      <c r="P205" s="6"/>
      <c r="Q205" s="6"/>
      <c r="R205" s="5"/>
      <c r="S205" s="5"/>
      <c r="T205" s="5"/>
      <c r="U205" s="5"/>
      <c r="V205" s="5"/>
      <c r="W205" s="5"/>
    </row>
    <row r="206" ht="14.25" customHeight="1">
      <c r="A206" s="5"/>
      <c r="B206" s="5"/>
      <c r="C206" s="6"/>
      <c r="D206" s="6"/>
      <c r="E206" s="6"/>
      <c r="F206" s="5"/>
      <c r="G206" s="5"/>
      <c r="H206" s="5"/>
      <c r="I206" s="6"/>
      <c r="J206" s="6"/>
      <c r="K206" s="6"/>
      <c r="L206" s="5"/>
      <c r="M206" s="5"/>
      <c r="N206" s="5"/>
      <c r="O206" s="6"/>
      <c r="P206" s="6"/>
      <c r="Q206" s="6"/>
      <c r="R206" s="5"/>
      <c r="S206" s="5"/>
      <c r="T206" s="5"/>
      <c r="U206" s="5"/>
      <c r="V206" s="5"/>
      <c r="W206" s="5"/>
    </row>
    <row r="207" ht="14.25" customHeight="1">
      <c r="A207" s="5"/>
      <c r="B207" s="5"/>
      <c r="C207" s="6"/>
      <c r="D207" s="6"/>
      <c r="E207" s="6"/>
      <c r="F207" s="5"/>
      <c r="G207" s="5"/>
      <c r="H207" s="5"/>
      <c r="I207" s="6"/>
      <c r="J207" s="6"/>
      <c r="K207" s="6"/>
      <c r="L207" s="5"/>
      <c r="M207" s="5"/>
      <c r="N207" s="5"/>
      <c r="O207" s="6"/>
      <c r="P207" s="6"/>
      <c r="Q207" s="6"/>
      <c r="R207" s="5"/>
      <c r="S207" s="5"/>
      <c r="T207" s="5"/>
      <c r="U207" s="5"/>
      <c r="V207" s="5"/>
      <c r="W207" s="5"/>
    </row>
    <row r="208" ht="14.25" customHeight="1">
      <c r="A208" s="5"/>
      <c r="B208" s="5"/>
      <c r="C208" s="6"/>
      <c r="D208" s="6"/>
      <c r="E208" s="6"/>
      <c r="F208" s="5"/>
      <c r="G208" s="5"/>
      <c r="H208" s="5"/>
      <c r="I208" s="6"/>
      <c r="J208" s="6"/>
      <c r="K208" s="6"/>
      <c r="L208" s="5"/>
      <c r="M208" s="5"/>
      <c r="N208" s="5"/>
      <c r="O208" s="6"/>
      <c r="P208" s="6"/>
      <c r="Q208" s="6"/>
      <c r="R208" s="5"/>
      <c r="S208" s="5"/>
      <c r="T208" s="5"/>
      <c r="U208" s="5"/>
      <c r="V208" s="5"/>
      <c r="W208" s="5"/>
    </row>
    <row r="209" ht="14.25" customHeight="1">
      <c r="A209" s="5"/>
      <c r="B209" s="5"/>
      <c r="C209" s="6"/>
      <c r="D209" s="6"/>
      <c r="E209" s="6"/>
      <c r="F209" s="5"/>
      <c r="G209" s="5"/>
      <c r="H209" s="5"/>
      <c r="I209" s="6"/>
      <c r="J209" s="6"/>
      <c r="K209" s="6"/>
      <c r="L209" s="5"/>
      <c r="M209" s="5"/>
      <c r="N209" s="5"/>
      <c r="O209" s="6"/>
      <c r="P209" s="6"/>
      <c r="Q209" s="6"/>
      <c r="R209" s="5"/>
      <c r="S209" s="5"/>
      <c r="T209" s="5"/>
      <c r="U209" s="5"/>
      <c r="V209" s="5"/>
      <c r="W209" s="5"/>
    </row>
    <row r="210" ht="14.25" customHeight="1">
      <c r="A210" s="5"/>
      <c r="B210" s="5"/>
      <c r="C210" s="6"/>
      <c r="D210" s="6"/>
      <c r="E210" s="6"/>
      <c r="F210" s="5"/>
      <c r="G210" s="5"/>
      <c r="H210" s="5"/>
      <c r="I210" s="6"/>
      <c r="J210" s="6"/>
      <c r="K210" s="6"/>
      <c r="L210" s="5"/>
      <c r="M210" s="5"/>
      <c r="N210" s="5"/>
      <c r="O210" s="6"/>
      <c r="P210" s="6"/>
      <c r="Q210" s="6"/>
      <c r="R210" s="5"/>
      <c r="S210" s="5"/>
      <c r="T210" s="5"/>
      <c r="U210" s="5"/>
      <c r="V210" s="5"/>
      <c r="W210" s="5"/>
    </row>
    <row r="211" ht="14.25" customHeight="1">
      <c r="A211" s="5"/>
      <c r="B211" s="5"/>
      <c r="C211" s="6"/>
      <c r="D211" s="6"/>
      <c r="E211" s="6"/>
      <c r="F211" s="5"/>
      <c r="G211" s="5"/>
      <c r="H211" s="5"/>
      <c r="I211" s="6"/>
      <c r="J211" s="6"/>
      <c r="K211" s="6"/>
      <c r="L211" s="5"/>
      <c r="M211" s="5"/>
      <c r="N211" s="5"/>
      <c r="O211" s="6"/>
      <c r="P211" s="6"/>
      <c r="Q211" s="6"/>
      <c r="R211" s="5"/>
      <c r="S211" s="5"/>
      <c r="T211" s="5"/>
      <c r="U211" s="5"/>
      <c r="V211" s="5"/>
      <c r="W211" s="5"/>
    </row>
    <row r="212" ht="14.25" customHeight="1">
      <c r="A212" s="5"/>
      <c r="B212" s="5"/>
      <c r="C212" s="6"/>
      <c r="D212" s="6"/>
      <c r="E212" s="6"/>
      <c r="F212" s="5"/>
      <c r="G212" s="5"/>
      <c r="H212" s="5"/>
      <c r="I212" s="6"/>
      <c r="J212" s="6"/>
      <c r="K212" s="6"/>
      <c r="L212" s="5"/>
      <c r="M212" s="5"/>
      <c r="N212" s="5"/>
      <c r="O212" s="6"/>
      <c r="P212" s="6"/>
      <c r="Q212" s="6"/>
      <c r="R212" s="5"/>
      <c r="S212" s="5"/>
      <c r="T212" s="5"/>
      <c r="U212" s="5"/>
      <c r="V212" s="5"/>
      <c r="W212" s="5"/>
    </row>
    <row r="213" ht="14.25" customHeight="1">
      <c r="A213" s="5"/>
      <c r="B213" s="5"/>
      <c r="C213" s="6"/>
      <c r="D213" s="6"/>
      <c r="E213" s="6"/>
      <c r="F213" s="5"/>
      <c r="G213" s="5"/>
      <c r="H213" s="5"/>
      <c r="I213" s="6"/>
      <c r="J213" s="6"/>
      <c r="K213" s="6"/>
      <c r="L213" s="5"/>
      <c r="M213" s="5"/>
      <c r="N213" s="5"/>
      <c r="O213" s="6"/>
      <c r="P213" s="6"/>
      <c r="Q213" s="6"/>
      <c r="R213" s="5"/>
      <c r="S213" s="5"/>
      <c r="T213" s="5"/>
      <c r="U213" s="5"/>
      <c r="V213" s="5"/>
      <c r="W213" s="5"/>
    </row>
    <row r="214" ht="14.25" customHeight="1">
      <c r="A214" s="5"/>
      <c r="B214" s="5"/>
      <c r="C214" s="6"/>
      <c r="D214" s="6"/>
      <c r="E214" s="6"/>
      <c r="F214" s="5"/>
      <c r="G214" s="5"/>
      <c r="H214" s="5"/>
      <c r="I214" s="6"/>
      <c r="J214" s="6"/>
      <c r="K214" s="6"/>
      <c r="L214" s="5"/>
      <c r="M214" s="5"/>
      <c r="N214" s="5"/>
      <c r="O214" s="6"/>
      <c r="P214" s="6"/>
      <c r="Q214" s="6"/>
      <c r="R214" s="5"/>
      <c r="S214" s="5"/>
      <c r="T214" s="5"/>
      <c r="U214" s="5"/>
      <c r="V214" s="5"/>
      <c r="W214" s="5"/>
    </row>
    <row r="215" ht="14.25" customHeight="1">
      <c r="A215" s="5"/>
      <c r="B215" s="5"/>
      <c r="C215" s="6"/>
      <c r="D215" s="6"/>
      <c r="E215" s="6"/>
      <c r="F215" s="5"/>
      <c r="G215" s="5"/>
      <c r="H215" s="5"/>
      <c r="I215" s="6"/>
      <c r="J215" s="6"/>
      <c r="K215" s="6"/>
      <c r="L215" s="5"/>
      <c r="M215" s="5"/>
      <c r="N215" s="5"/>
      <c r="O215" s="6"/>
      <c r="P215" s="6"/>
      <c r="Q215" s="6"/>
      <c r="R215" s="5"/>
      <c r="S215" s="5"/>
      <c r="T215" s="5"/>
      <c r="U215" s="5"/>
      <c r="V215" s="5"/>
      <c r="W215" s="5"/>
    </row>
    <row r="216" ht="14.25" customHeight="1">
      <c r="A216" s="5"/>
      <c r="B216" s="5"/>
      <c r="C216" s="6"/>
      <c r="D216" s="6"/>
      <c r="E216" s="6"/>
      <c r="F216" s="5"/>
      <c r="G216" s="5"/>
      <c r="H216" s="5"/>
      <c r="I216" s="6"/>
      <c r="J216" s="6"/>
      <c r="K216" s="6"/>
      <c r="L216" s="5"/>
      <c r="M216" s="5"/>
      <c r="N216" s="5"/>
      <c r="O216" s="6"/>
      <c r="P216" s="6"/>
      <c r="Q216" s="6"/>
      <c r="R216" s="5"/>
      <c r="S216" s="5"/>
      <c r="T216" s="5"/>
      <c r="U216" s="5"/>
      <c r="V216" s="5"/>
      <c r="W216" s="5"/>
    </row>
    <row r="217" ht="14.25" customHeight="1">
      <c r="A217" s="5"/>
      <c r="B217" s="5"/>
      <c r="C217" s="6"/>
      <c r="D217" s="6"/>
      <c r="E217" s="6"/>
      <c r="F217" s="5"/>
      <c r="G217" s="5"/>
      <c r="H217" s="5"/>
      <c r="I217" s="6"/>
      <c r="J217" s="6"/>
      <c r="K217" s="6"/>
      <c r="L217" s="5"/>
      <c r="M217" s="5"/>
      <c r="N217" s="5"/>
      <c r="O217" s="6"/>
      <c r="P217" s="6"/>
      <c r="Q217" s="6"/>
      <c r="R217" s="5"/>
      <c r="S217" s="5"/>
      <c r="T217" s="5"/>
      <c r="U217" s="5"/>
      <c r="V217" s="5"/>
      <c r="W217" s="5"/>
    </row>
    <row r="218" ht="14.25" customHeight="1">
      <c r="A218" s="5"/>
      <c r="B218" s="5"/>
      <c r="C218" s="6"/>
      <c r="D218" s="6"/>
      <c r="E218" s="6"/>
      <c r="F218" s="5"/>
      <c r="G218" s="5"/>
      <c r="H218" s="5"/>
      <c r="I218" s="6"/>
      <c r="J218" s="6"/>
      <c r="K218" s="6"/>
      <c r="L218" s="5"/>
      <c r="M218" s="5"/>
      <c r="N218" s="5"/>
      <c r="O218" s="6"/>
      <c r="P218" s="6"/>
      <c r="Q218" s="6"/>
      <c r="R218" s="5"/>
      <c r="S218" s="5"/>
      <c r="T218" s="5"/>
      <c r="U218" s="5"/>
      <c r="V218" s="5"/>
      <c r="W218" s="5"/>
    </row>
    <row r="219" ht="14.25" customHeight="1">
      <c r="A219" s="5"/>
      <c r="B219" s="5"/>
      <c r="C219" s="6"/>
      <c r="D219" s="6"/>
      <c r="E219" s="6"/>
      <c r="F219" s="5"/>
      <c r="G219" s="5"/>
      <c r="H219" s="5"/>
      <c r="I219" s="6"/>
      <c r="J219" s="6"/>
      <c r="K219" s="6"/>
      <c r="L219" s="5"/>
      <c r="M219" s="5"/>
      <c r="N219" s="5"/>
      <c r="O219" s="6"/>
      <c r="P219" s="6"/>
      <c r="Q219" s="6"/>
      <c r="R219" s="5"/>
      <c r="S219" s="5"/>
      <c r="T219" s="5"/>
      <c r="U219" s="5"/>
      <c r="V219" s="5"/>
      <c r="W219" s="5"/>
    </row>
    <row r="220" ht="14.25" customHeight="1">
      <c r="A220" s="5"/>
      <c r="B220" s="5"/>
      <c r="C220" s="6"/>
      <c r="D220" s="6"/>
      <c r="E220" s="6"/>
      <c r="F220" s="5"/>
      <c r="G220" s="5"/>
      <c r="H220" s="5"/>
      <c r="I220" s="6"/>
      <c r="J220" s="6"/>
      <c r="K220" s="6"/>
      <c r="L220" s="5"/>
      <c r="M220" s="5"/>
      <c r="N220" s="5"/>
      <c r="O220" s="6"/>
      <c r="P220" s="6"/>
      <c r="Q220" s="6"/>
      <c r="R220" s="5"/>
      <c r="S220" s="5"/>
      <c r="T220" s="5"/>
      <c r="U220" s="5"/>
      <c r="V220" s="5"/>
      <c r="W220" s="5"/>
    </row>
    <row r="221" ht="14.25" customHeight="1">
      <c r="A221" s="5"/>
      <c r="B221" s="5"/>
      <c r="C221" s="6"/>
      <c r="D221" s="6"/>
      <c r="E221" s="6"/>
      <c r="F221" s="5"/>
      <c r="G221" s="5"/>
      <c r="H221" s="5"/>
      <c r="I221" s="6"/>
      <c r="J221" s="6"/>
      <c r="K221" s="6"/>
      <c r="L221" s="5"/>
      <c r="M221" s="5"/>
      <c r="N221" s="5"/>
      <c r="O221" s="6"/>
      <c r="P221" s="6"/>
      <c r="Q221" s="6"/>
      <c r="R221" s="5"/>
      <c r="S221" s="5"/>
      <c r="T221" s="5"/>
      <c r="U221" s="5"/>
      <c r="V221" s="5"/>
      <c r="W221" s="5"/>
    </row>
    <row r="222" ht="14.25" customHeight="1">
      <c r="A222" s="5"/>
      <c r="B222" s="5"/>
      <c r="C222" s="6"/>
      <c r="D222" s="6"/>
      <c r="E222" s="6"/>
      <c r="F222" s="5"/>
      <c r="G222" s="5"/>
      <c r="H222" s="5"/>
      <c r="I222" s="6"/>
      <c r="J222" s="6"/>
      <c r="K222" s="6"/>
      <c r="L222" s="5"/>
      <c r="M222" s="5"/>
      <c r="N222" s="5"/>
      <c r="O222" s="6"/>
      <c r="P222" s="6"/>
      <c r="Q222" s="6"/>
      <c r="R222" s="5"/>
      <c r="S222" s="5"/>
      <c r="T222" s="5"/>
      <c r="U222" s="5"/>
      <c r="V222" s="5"/>
      <c r="W222" s="5"/>
    </row>
    <row r="223" ht="14.25" customHeight="1">
      <c r="A223" s="5"/>
      <c r="B223" s="5"/>
      <c r="C223" s="6"/>
      <c r="D223" s="6"/>
      <c r="E223" s="6"/>
      <c r="F223" s="5"/>
      <c r="G223" s="5"/>
      <c r="H223" s="5"/>
      <c r="I223" s="6"/>
      <c r="J223" s="6"/>
      <c r="K223" s="6"/>
      <c r="L223" s="5"/>
      <c r="M223" s="5"/>
      <c r="N223" s="5"/>
      <c r="O223" s="6"/>
      <c r="P223" s="6"/>
      <c r="Q223" s="6"/>
      <c r="R223" s="5"/>
      <c r="S223" s="5"/>
      <c r="T223" s="5"/>
      <c r="U223" s="5"/>
      <c r="V223" s="5"/>
      <c r="W223" s="5"/>
    </row>
    <row r="224" ht="14.25" customHeight="1">
      <c r="A224" s="5"/>
      <c r="B224" s="5"/>
      <c r="C224" s="6"/>
      <c r="D224" s="6"/>
      <c r="E224" s="6"/>
      <c r="F224" s="5"/>
      <c r="G224" s="5"/>
      <c r="H224" s="5"/>
      <c r="I224" s="6"/>
      <c r="J224" s="6"/>
      <c r="K224" s="6"/>
      <c r="L224" s="5"/>
      <c r="M224" s="5"/>
      <c r="N224" s="5"/>
      <c r="O224" s="6"/>
      <c r="P224" s="6"/>
      <c r="Q224" s="6"/>
      <c r="R224" s="5"/>
      <c r="S224" s="5"/>
      <c r="T224" s="5"/>
      <c r="U224" s="5"/>
      <c r="V224" s="5"/>
      <c r="W224" s="5"/>
    </row>
    <row r="225" ht="14.25" customHeight="1">
      <c r="A225" s="5"/>
      <c r="B225" s="5"/>
      <c r="C225" s="6"/>
      <c r="D225" s="6"/>
      <c r="E225" s="6"/>
      <c r="F225" s="5"/>
      <c r="G225" s="5"/>
      <c r="H225" s="5"/>
      <c r="I225" s="6"/>
      <c r="J225" s="6"/>
      <c r="K225" s="6"/>
      <c r="L225" s="5"/>
      <c r="M225" s="5"/>
      <c r="N225" s="5"/>
      <c r="O225" s="6"/>
      <c r="P225" s="6"/>
      <c r="Q225" s="6"/>
      <c r="R225" s="5"/>
      <c r="S225" s="5"/>
      <c r="T225" s="5"/>
      <c r="U225" s="5"/>
      <c r="V225" s="5"/>
      <c r="W225" s="5"/>
    </row>
    <row r="226" ht="14.25" customHeight="1">
      <c r="A226" s="5"/>
      <c r="B226" s="5"/>
      <c r="C226" s="6"/>
      <c r="D226" s="6"/>
      <c r="E226" s="6"/>
      <c r="F226" s="5"/>
      <c r="G226" s="5"/>
      <c r="H226" s="5"/>
      <c r="I226" s="6"/>
      <c r="J226" s="6"/>
      <c r="K226" s="6"/>
      <c r="L226" s="5"/>
      <c r="M226" s="5"/>
      <c r="N226" s="5"/>
      <c r="O226" s="6"/>
      <c r="P226" s="6"/>
      <c r="Q226" s="6"/>
      <c r="R226" s="5"/>
      <c r="S226" s="5"/>
      <c r="T226" s="5"/>
      <c r="U226" s="5"/>
      <c r="V226" s="5"/>
      <c r="W226" s="5"/>
    </row>
    <row r="227" ht="14.25" customHeight="1">
      <c r="A227" s="5"/>
      <c r="B227" s="5"/>
      <c r="C227" s="6"/>
      <c r="D227" s="6"/>
      <c r="E227" s="6"/>
      <c r="F227" s="5"/>
      <c r="G227" s="5"/>
      <c r="H227" s="5"/>
      <c r="I227" s="6"/>
      <c r="J227" s="6"/>
      <c r="K227" s="6"/>
      <c r="L227" s="5"/>
      <c r="M227" s="5"/>
      <c r="N227" s="5"/>
      <c r="O227" s="6"/>
      <c r="P227" s="6"/>
      <c r="Q227" s="6"/>
      <c r="R227" s="5"/>
      <c r="S227" s="5"/>
      <c r="T227" s="5"/>
      <c r="U227" s="5"/>
      <c r="V227" s="5"/>
      <c r="W227" s="5"/>
    </row>
    <row r="228" ht="14.25" customHeight="1">
      <c r="A228" s="5"/>
      <c r="B228" s="5"/>
      <c r="C228" s="6"/>
      <c r="D228" s="6"/>
      <c r="E228" s="6"/>
      <c r="F228" s="5"/>
      <c r="G228" s="5"/>
      <c r="H228" s="5"/>
      <c r="I228" s="6"/>
      <c r="J228" s="6"/>
      <c r="K228" s="6"/>
      <c r="L228" s="5"/>
      <c r="M228" s="5"/>
      <c r="N228" s="5"/>
      <c r="O228" s="6"/>
      <c r="P228" s="6"/>
      <c r="Q228" s="6"/>
      <c r="R228" s="5"/>
      <c r="S228" s="5"/>
      <c r="T228" s="5"/>
      <c r="U228" s="5"/>
      <c r="V228" s="5"/>
      <c r="W228" s="5"/>
    </row>
    <row r="229" ht="14.25" customHeight="1">
      <c r="A229" s="5"/>
      <c r="B229" s="5"/>
      <c r="C229" s="6"/>
      <c r="D229" s="6"/>
      <c r="E229" s="6"/>
      <c r="F229" s="5"/>
      <c r="G229" s="5"/>
      <c r="H229" s="5"/>
      <c r="I229" s="6"/>
      <c r="J229" s="6"/>
      <c r="K229" s="6"/>
      <c r="L229" s="5"/>
      <c r="M229" s="5"/>
      <c r="N229" s="5"/>
      <c r="O229" s="6"/>
      <c r="P229" s="6"/>
      <c r="Q229" s="6"/>
      <c r="R229" s="5"/>
      <c r="S229" s="5"/>
      <c r="T229" s="5"/>
      <c r="U229" s="5"/>
      <c r="V229" s="5"/>
      <c r="W229" s="5"/>
    </row>
    <row r="230" ht="14.25" customHeight="1">
      <c r="A230" s="5"/>
      <c r="B230" s="5"/>
      <c r="C230" s="6"/>
      <c r="D230" s="6"/>
      <c r="E230" s="6"/>
      <c r="F230" s="5"/>
      <c r="G230" s="5"/>
      <c r="H230" s="5"/>
      <c r="I230" s="6"/>
      <c r="J230" s="6"/>
      <c r="K230" s="6"/>
      <c r="L230" s="5"/>
      <c r="M230" s="5"/>
      <c r="N230" s="5"/>
      <c r="O230" s="6"/>
      <c r="P230" s="6"/>
      <c r="Q230" s="6"/>
      <c r="R230" s="5"/>
      <c r="S230" s="5"/>
      <c r="T230" s="5"/>
      <c r="U230" s="5"/>
      <c r="V230" s="5"/>
      <c r="W230" s="5"/>
    </row>
    <row r="231" ht="14.25" customHeight="1">
      <c r="A231" s="5"/>
      <c r="B231" s="5"/>
      <c r="C231" s="6"/>
      <c r="D231" s="6"/>
      <c r="E231" s="6"/>
      <c r="F231" s="5"/>
      <c r="G231" s="5"/>
      <c r="H231" s="5"/>
      <c r="I231" s="6"/>
      <c r="J231" s="6"/>
      <c r="K231" s="6"/>
      <c r="L231" s="5"/>
      <c r="M231" s="5"/>
      <c r="N231" s="5"/>
      <c r="O231" s="6"/>
      <c r="P231" s="6"/>
      <c r="Q231" s="6"/>
      <c r="R231" s="5"/>
      <c r="S231" s="5"/>
      <c r="T231" s="5"/>
      <c r="U231" s="5"/>
      <c r="V231" s="5"/>
      <c r="W231" s="5"/>
    </row>
    <row r="232" ht="14.25" customHeight="1">
      <c r="A232" s="5"/>
      <c r="B232" s="5"/>
      <c r="C232" s="6"/>
      <c r="D232" s="6"/>
      <c r="E232" s="6"/>
      <c r="F232" s="5"/>
      <c r="G232" s="5"/>
      <c r="H232" s="5"/>
      <c r="I232" s="6"/>
      <c r="J232" s="6"/>
      <c r="K232" s="6"/>
      <c r="L232" s="5"/>
      <c r="M232" s="5"/>
      <c r="N232" s="5"/>
      <c r="O232" s="6"/>
      <c r="P232" s="6"/>
      <c r="Q232" s="6"/>
      <c r="R232" s="5"/>
      <c r="S232" s="5"/>
      <c r="T232" s="5"/>
      <c r="U232" s="5"/>
      <c r="V232" s="5"/>
      <c r="W232" s="5"/>
    </row>
    <row r="233" ht="14.25" customHeight="1">
      <c r="A233" s="5"/>
      <c r="B233" s="5"/>
      <c r="C233" s="6"/>
      <c r="D233" s="6"/>
      <c r="E233" s="6"/>
      <c r="F233" s="5"/>
      <c r="G233" s="5"/>
      <c r="H233" s="5"/>
      <c r="I233" s="6"/>
      <c r="J233" s="6"/>
      <c r="K233" s="6"/>
      <c r="L233" s="5"/>
      <c r="M233" s="5"/>
      <c r="N233" s="5"/>
      <c r="O233" s="6"/>
      <c r="P233" s="6"/>
      <c r="Q233" s="6"/>
      <c r="R233" s="5"/>
      <c r="S233" s="5"/>
      <c r="T233" s="5"/>
      <c r="U233" s="5"/>
      <c r="V233" s="5"/>
      <c r="W233" s="5"/>
    </row>
    <row r="234" ht="14.25" customHeight="1">
      <c r="A234" s="5"/>
      <c r="B234" s="5"/>
      <c r="C234" s="6"/>
      <c r="D234" s="6"/>
      <c r="E234" s="6"/>
      <c r="F234" s="5"/>
      <c r="G234" s="5"/>
      <c r="H234" s="5"/>
      <c r="I234" s="6"/>
      <c r="J234" s="6"/>
      <c r="K234" s="6"/>
      <c r="L234" s="5"/>
      <c r="M234" s="5"/>
      <c r="N234" s="5"/>
      <c r="O234" s="6"/>
      <c r="P234" s="6"/>
      <c r="Q234" s="6"/>
      <c r="R234" s="5"/>
      <c r="S234" s="5"/>
      <c r="T234" s="5"/>
      <c r="U234" s="5"/>
      <c r="V234" s="5"/>
      <c r="W234" s="5"/>
    </row>
    <row r="235" ht="14.25" customHeight="1">
      <c r="A235" s="5"/>
      <c r="B235" s="5"/>
      <c r="C235" s="6"/>
      <c r="D235" s="6"/>
      <c r="E235" s="6"/>
      <c r="F235" s="5"/>
      <c r="G235" s="5"/>
      <c r="H235" s="5"/>
      <c r="I235" s="6"/>
      <c r="J235" s="6"/>
      <c r="K235" s="6"/>
      <c r="L235" s="5"/>
      <c r="M235" s="5"/>
      <c r="N235" s="5"/>
      <c r="O235" s="6"/>
      <c r="P235" s="6"/>
      <c r="Q235" s="6"/>
      <c r="R235" s="5"/>
      <c r="S235" s="5"/>
      <c r="T235" s="5"/>
      <c r="U235" s="5"/>
      <c r="V235" s="5"/>
      <c r="W235" s="5"/>
    </row>
    <row r="236" ht="14.25" customHeight="1">
      <c r="A236" s="5"/>
      <c r="B236" s="5"/>
      <c r="C236" s="6"/>
      <c r="D236" s="6"/>
      <c r="E236" s="6"/>
      <c r="F236" s="5"/>
      <c r="G236" s="5"/>
      <c r="H236" s="5"/>
      <c r="I236" s="6"/>
      <c r="J236" s="6"/>
      <c r="K236" s="6"/>
      <c r="L236" s="5"/>
      <c r="M236" s="5"/>
      <c r="N236" s="5"/>
      <c r="O236" s="6"/>
      <c r="P236" s="6"/>
      <c r="Q236" s="6"/>
      <c r="R236" s="5"/>
      <c r="S236" s="5"/>
      <c r="T236" s="5"/>
      <c r="U236" s="5"/>
      <c r="V236" s="5"/>
      <c r="W236" s="5"/>
    </row>
    <row r="237" ht="14.25" customHeight="1">
      <c r="A237" s="5"/>
      <c r="B237" s="5"/>
      <c r="C237" s="6"/>
      <c r="D237" s="6"/>
      <c r="E237" s="6"/>
      <c r="F237" s="5"/>
      <c r="G237" s="5"/>
      <c r="H237" s="5"/>
      <c r="I237" s="6"/>
      <c r="J237" s="6"/>
      <c r="K237" s="6"/>
      <c r="L237" s="5"/>
      <c r="M237" s="5"/>
      <c r="N237" s="5"/>
      <c r="O237" s="6"/>
      <c r="P237" s="6"/>
      <c r="Q237" s="6"/>
      <c r="R237" s="5"/>
      <c r="S237" s="5"/>
      <c r="T237" s="5"/>
      <c r="U237" s="5"/>
      <c r="V237" s="5"/>
      <c r="W237" s="5"/>
    </row>
    <row r="238" ht="14.25" customHeight="1">
      <c r="A238" s="5"/>
      <c r="B238" s="5"/>
      <c r="C238" s="6"/>
      <c r="D238" s="6"/>
      <c r="E238" s="6"/>
      <c r="F238" s="5"/>
      <c r="G238" s="5"/>
      <c r="H238" s="5"/>
      <c r="I238" s="6"/>
      <c r="J238" s="6"/>
      <c r="K238" s="6"/>
      <c r="L238" s="5"/>
      <c r="M238" s="5"/>
      <c r="N238" s="5"/>
      <c r="O238" s="6"/>
      <c r="P238" s="6"/>
      <c r="Q238" s="6"/>
      <c r="R238" s="5"/>
      <c r="S238" s="5"/>
      <c r="T238" s="5"/>
      <c r="U238" s="5"/>
      <c r="V238" s="5"/>
      <c r="W238" s="5"/>
    </row>
    <row r="239" ht="14.25" customHeight="1">
      <c r="A239" s="5"/>
      <c r="B239" s="5"/>
      <c r="C239" s="6"/>
      <c r="D239" s="6"/>
      <c r="E239" s="6"/>
      <c r="F239" s="5"/>
      <c r="G239" s="5"/>
      <c r="H239" s="5"/>
      <c r="I239" s="6"/>
      <c r="J239" s="6"/>
      <c r="K239" s="6"/>
      <c r="L239" s="5"/>
      <c r="M239" s="5"/>
      <c r="N239" s="5"/>
      <c r="O239" s="6"/>
      <c r="P239" s="6"/>
      <c r="Q239" s="6"/>
      <c r="R239" s="5"/>
      <c r="S239" s="5"/>
      <c r="T239" s="5"/>
      <c r="U239" s="5"/>
      <c r="V239" s="5"/>
      <c r="W239" s="5"/>
    </row>
    <row r="240" ht="14.25" customHeight="1">
      <c r="A240" s="5"/>
      <c r="B240" s="5"/>
      <c r="C240" s="6"/>
      <c r="D240" s="6"/>
      <c r="E240" s="6"/>
      <c r="F240" s="5"/>
      <c r="G240" s="5"/>
      <c r="H240" s="5"/>
      <c r="I240" s="6"/>
      <c r="J240" s="6"/>
      <c r="K240" s="6"/>
      <c r="L240" s="5"/>
      <c r="M240" s="5"/>
      <c r="N240" s="5"/>
      <c r="O240" s="6"/>
      <c r="P240" s="6"/>
      <c r="Q240" s="6"/>
      <c r="R240" s="5"/>
      <c r="S240" s="5"/>
      <c r="T240" s="5"/>
      <c r="U240" s="5"/>
      <c r="V240" s="5"/>
      <c r="W240" s="5"/>
    </row>
    <row r="241" ht="14.25" customHeight="1">
      <c r="A241" s="5"/>
      <c r="B241" s="5"/>
      <c r="C241" s="6"/>
      <c r="D241" s="6"/>
      <c r="E241" s="6"/>
      <c r="F241" s="5"/>
      <c r="G241" s="5"/>
      <c r="H241" s="5"/>
      <c r="I241" s="6"/>
      <c r="J241" s="6"/>
      <c r="K241" s="6"/>
      <c r="L241" s="5"/>
      <c r="M241" s="5"/>
      <c r="N241" s="5"/>
      <c r="O241" s="6"/>
      <c r="P241" s="6"/>
      <c r="Q241" s="6"/>
      <c r="R241" s="5"/>
      <c r="S241" s="5"/>
      <c r="T241" s="5"/>
      <c r="U241" s="5"/>
      <c r="V241" s="5"/>
      <c r="W241" s="5"/>
    </row>
    <row r="242" ht="14.25" customHeight="1">
      <c r="A242" s="5"/>
      <c r="B242" s="5"/>
      <c r="C242" s="6"/>
      <c r="D242" s="6"/>
      <c r="E242" s="6"/>
      <c r="F242" s="5"/>
      <c r="G242" s="5"/>
      <c r="H242" s="5"/>
      <c r="I242" s="6"/>
      <c r="J242" s="6"/>
      <c r="K242" s="6"/>
      <c r="L242" s="5"/>
      <c r="M242" s="5"/>
      <c r="N242" s="5"/>
      <c r="O242" s="6"/>
      <c r="P242" s="6"/>
      <c r="Q242" s="6"/>
      <c r="R242" s="5"/>
      <c r="S242" s="5"/>
      <c r="T242" s="5"/>
      <c r="U242" s="5"/>
      <c r="V242" s="5"/>
      <c r="W242" s="5"/>
    </row>
    <row r="243" ht="14.25" customHeight="1">
      <c r="A243" s="5"/>
      <c r="B243" s="5"/>
      <c r="C243" s="6"/>
      <c r="D243" s="6"/>
      <c r="E243" s="6"/>
      <c r="F243" s="5"/>
      <c r="G243" s="5"/>
      <c r="H243" s="5"/>
      <c r="I243" s="6"/>
      <c r="J243" s="6"/>
      <c r="K243" s="6"/>
      <c r="L243" s="5"/>
      <c r="M243" s="5"/>
      <c r="N243" s="5"/>
      <c r="O243" s="6"/>
      <c r="P243" s="6"/>
      <c r="Q243" s="6"/>
      <c r="R243" s="5"/>
      <c r="S243" s="5"/>
      <c r="T243" s="5"/>
      <c r="U243" s="5"/>
      <c r="V243" s="5"/>
      <c r="W243" s="5"/>
    </row>
    <row r="244" ht="14.25" customHeight="1">
      <c r="A244" s="5"/>
      <c r="B244" s="5"/>
      <c r="C244" s="6"/>
      <c r="D244" s="6"/>
      <c r="E244" s="6"/>
      <c r="F244" s="5"/>
      <c r="G244" s="5"/>
      <c r="H244" s="5"/>
      <c r="I244" s="6"/>
      <c r="J244" s="6"/>
      <c r="K244" s="6"/>
      <c r="L244" s="5"/>
      <c r="M244" s="5"/>
      <c r="N244" s="5"/>
      <c r="O244" s="6"/>
      <c r="P244" s="6"/>
      <c r="Q244" s="6"/>
      <c r="R244" s="5"/>
      <c r="S244" s="5"/>
      <c r="T244" s="5"/>
      <c r="U244" s="5"/>
      <c r="V244" s="5"/>
      <c r="W244" s="5"/>
    </row>
    <row r="245" ht="14.25" customHeight="1">
      <c r="A245" s="5"/>
      <c r="B245" s="5"/>
      <c r="C245" s="6"/>
      <c r="D245" s="6"/>
      <c r="E245" s="6"/>
      <c r="F245" s="5"/>
      <c r="G245" s="5"/>
      <c r="H245" s="5"/>
      <c r="I245" s="6"/>
      <c r="J245" s="6"/>
      <c r="K245" s="6"/>
      <c r="L245" s="5"/>
      <c r="M245" s="5"/>
      <c r="N245" s="5"/>
      <c r="O245" s="6"/>
      <c r="P245" s="6"/>
      <c r="Q245" s="6"/>
      <c r="R245" s="5"/>
      <c r="S245" s="5"/>
      <c r="T245" s="5"/>
      <c r="U245" s="5"/>
      <c r="V245" s="5"/>
      <c r="W245" s="5"/>
    </row>
    <row r="246" ht="14.25" customHeight="1">
      <c r="A246" s="5"/>
      <c r="B246" s="5"/>
      <c r="C246" s="6"/>
      <c r="D246" s="6"/>
      <c r="E246" s="6"/>
      <c r="F246" s="5"/>
      <c r="G246" s="5"/>
      <c r="H246" s="5"/>
      <c r="I246" s="6"/>
      <c r="J246" s="6"/>
      <c r="K246" s="6"/>
      <c r="L246" s="5"/>
      <c r="M246" s="5"/>
      <c r="N246" s="5"/>
      <c r="O246" s="6"/>
      <c r="P246" s="6"/>
      <c r="Q246" s="6"/>
      <c r="R246" s="5"/>
      <c r="S246" s="5"/>
      <c r="T246" s="5"/>
      <c r="U246" s="5"/>
      <c r="V246" s="5"/>
      <c r="W246" s="5"/>
    </row>
    <row r="247" ht="14.25" customHeight="1">
      <c r="A247" s="5"/>
      <c r="B247" s="5"/>
      <c r="C247" s="6"/>
      <c r="D247" s="6"/>
      <c r="E247" s="6"/>
      <c r="F247" s="5"/>
      <c r="G247" s="5"/>
      <c r="H247" s="5"/>
      <c r="I247" s="6"/>
      <c r="J247" s="6"/>
      <c r="K247" s="6"/>
      <c r="L247" s="5"/>
      <c r="M247" s="5"/>
      <c r="N247" s="5"/>
      <c r="O247" s="6"/>
      <c r="P247" s="6"/>
      <c r="Q247" s="6"/>
      <c r="R247" s="5"/>
      <c r="S247" s="5"/>
      <c r="T247" s="5"/>
      <c r="U247" s="5"/>
      <c r="V247" s="5"/>
      <c r="W247" s="5"/>
    </row>
    <row r="248" ht="14.25" customHeight="1">
      <c r="A248" s="5"/>
      <c r="B248" s="5"/>
      <c r="C248" s="6"/>
      <c r="D248" s="6"/>
      <c r="E248" s="6"/>
      <c r="F248" s="5"/>
      <c r="G248" s="5"/>
      <c r="H248" s="5"/>
      <c r="I248" s="6"/>
      <c r="J248" s="6"/>
      <c r="K248" s="6"/>
      <c r="L248" s="5"/>
      <c r="M248" s="5"/>
      <c r="N248" s="5"/>
      <c r="O248" s="6"/>
      <c r="P248" s="6"/>
      <c r="Q248" s="6"/>
      <c r="R248" s="5"/>
      <c r="S248" s="5"/>
      <c r="T248" s="5"/>
      <c r="U248" s="5"/>
      <c r="V248" s="5"/>
      <c r="W248" s="5"/>
    </row>
    <row r="249" ht="14.25" customHeight="1">
      <c r="A249" s="5"/>
      <c r="B249" s="5"/>
      <c r="C249" s="6"/>
      <c r="D249" s="6"/>
      <c r="E249" s="6"/>
      <c r="F249" s="5"/>
      <c r="G249" s="5"/>
      <c r="H249" s="5"/>
      <c r="I249" s="6"/>
      <c r="J249" s="6"/>
      <c r="K249" s="6"/>
      <c r="L249" s="5"/>
      <c r="M249" s="5"/>
      <c r="N249" s="5"/>
      <c r="O249" s="6"/>
      <c r="P249" s="6"/>
      <c r="Q249" s="6"/>
      <c r="R249" s="5"/>
      <c r="S249" s="5"/>
      <c r="T249" s="5"/>
      <c r="U249" s="5"/>
      <c r="V249" s="5"/>
      <c r="W249" s="5"/>
    </row>
    <row r="250" ht="14.25" customHeight="1">
      <c r="A250" s="5"/>
      <c r="B250" s="5"/>
      <c r="C250" s="6"/>
      <c r="D250" s="6"/>
      <c r="E250" s="6"/>
      <c r="F250" s="5"/>
      <c r="G250" s="5"/>
      <c r="H250" s="5"/>
      <c r="I250" s="6"/>
      <c r="J250" s="6"/>
      <c r="K250" s="6"/>
      <c r="L250" s="5"/>
      <c r="M250" s="5"/>
      <c r="N250" s="5"/>
      <c r="O250" s="6"/>
      <c r="P250" s="6"/>
      <c r="Q250" s="6"/>
      <c r="R250" s="5"/>
      <c r="S250" s="5"/>
      <c r="T250" s="5"/>
      <c r="U250" s="5"/>
      <c r="V250" s="5"/>
      <c r="W250" s="5"/>
    </row>
    <row r="251" ht="14.25" customHeight="1">
      <c r="A251" s="5"/>
      <c r="B251" s="5"/>
      <c r="C251" s="6"/>
      <c r="D251" s="6"/>
      <c r="E251" s="6"/>
      <c r="F251" s="5"/>
      <c r="G251" s="5"/>
      <c r="H251" s="5"/>
      <c r="I251" s="6"/>
      <c r="J251" s="6"/>
      <c r="K251" s="6"/>
      <c r="L251" s="5"/>
      <c r="M251" s="5"/>
      <c r="N251" s="5"/>
      <c r="O251" s="6"/>
      <c r="P251" s="6"/>
      <c r="Q251" s="6"/>
      <c r="R251" s="5"/>
      <c r="S251" s="5"/>
      <c r="T251" s="5"/>
      <c r="U251" s="5"/>
      <c r="V251" s="5"/>
      <c r="W251" s="5"/>
    </row>
    <row r="252" ht="14.25" customHeight="1">
      <c r="A252" s="5"/>
      <c r="B252" s="5"/>
      <c r="C252" s="6"/>
      <c r="D252" s="6"/>
      <c r="E252" s="6"/>
      <c r="F252" s="5"/>
      <c r="G252" s="5"/>
      <c r="H252" s="5"/>
      <c r="I252" s="6"/>
      <c r="J252" s="6"/>
      <c r="K252" s="6"/>
      <c r="L252" s="5"/>
      <c r="M252" s="5"/>
      <c r="N252" s="5"/>
      <c r="O252" s="6"/>
      <c r="P252" s="6"/>
      <c r="Q252" s="6"/>
      <c r="R252" s="5"/>
      <c r="S252" s="5"/>
      <c r="T252" s="5"/>
      <c r="U252" s="5"/>
      <c r="V252" s="5"/>
      <c r="W252" s="5"/>
    </row>
    <row r="253" ht="14.25" customHeight="1">
      <c r="A253" s="5"/>
      <c r="B253" s="5"/>
      <c r="C253" s="6"/>
      <c r="D253" s="6"/>
      <c r="E253" s="6"/>
      <c r="F253" s="5"/>
      <c r="G253" s="5"/>
      <c r="H253" s="5"/>
      <c r="I253" s="6"/>
      <c r="J253" s="6"/>
      <c r="K253" s="6"/>
      <c r="L253" s="5"/>
      <c r="M253" s="5"/>
      <c r="N253" s="5"/>
      <c r="O253" s="6"/>
      <c r="P253" s="6"/>
      <c r="Q253" s="6"/>
      <c r="R253" s="5"/>
      <c r="S253" s="5"/>
      <c r="T253" s="5"/>
      <c r="U253" s="5"/>
      <c r="V253" s="5"/>
      <c r="W253" s="5"/>
    </row>
    <row r="254" ht="14.25" customHeight="1">
      <c r="A254" s="5"/>
      <c r="B254" s="5"/>
      <c r="C254" s="6"/>
      <c r="D254" s="6"/>
      <c r="E254" s="6"/>
      <c r="F254" s="5"/>
      <c r="G254" s="5"/>
      <c r="H254" s="5"/>
      <c r="I254" s="6"/>
      <c r="J254" s="6"/>
      <c r="K254" s="6"/>
      <c r="L254" s="5"/>
      <c r="M254" s="5"/>
      <c r="N254" s="5"/>
      <c r="O254" s="6"/>
      <c r="P254" s="6"/>
      <c r="Q254" s="6"/>
      <c r="R254" s="5"/>
      <c r="S254" s="5"/>
      <c r="T254" s="5"/>
      <c r="U254" s="5"/>
      <c r="V254" s="5"/>
      <c r="W254" s="5"/>
    </row>
    <row r="255" ht="14.25" customHeight="1">
      <c r="A255" s="5"/>
      <c r="B255" s="5"/>
      <c r="C255" s="6"/>
      <c r="D255" s="6"/>
      <c r="E255" s="6"/>
      <c r="F255" s="5"/>
      <c r="G255" s="5"/>
      <c r="H255" s="5"/>
      <c r="I255" s="6"/>
      <c r="J255" s="6"/>
      <c r="K255" s="6"/>
      <c r="L255" s="5"/>
      <c r="M255" s="5"/>
      <c r="N255" s="5"/>
      <c r="O255" s="6"/>
      <c r="P255" s="6"/>
      <c r="Q255" s="6"/>
      <c r="R255" s="5"/>
      <c r="S255" s="5"/>
      <c r="T255" s="5"/>
      <c r="U255" s="5"/>
      <c r="V255" s="5"/>
      <c r="W255" s="5"/>
    </row>
    <row r="256" ht="14.25" customHeight="1">
      <c r="A256" s="5"/>
      <c r="B256" s="5"/>
      <c r="C256" s="6"/>
      <c r="D256" s="6"/>
      <c r="E256" s="6"/>
      <c r="F256" s="5"/>
      <c r="G256" s="5"/>
      <c r="H256" s="5"/>
      <c r="I256" s="6"/>
      <c r="J256" s="6"/>
      <c r="K256" s="6"/>
      <c r="L256" s="5"/>
      <c r="M256" s="5"/>
      <c r="N256" s="5"/>
      <c r="O256" s="6"/>
      <c r="P256" s="6"/>
      <c r="Q256" s="6"/>
      <c r="R256" s="5"/>
      <c r="S256" s="5"/>
      <c r="T256" s="5"/>
      <c r="U256" s="5"/>
      <c r="V256" s="5"/>
      <c r="W256" s="5"/>
    </row>
    <row r="257" ht="14.25" customHeight="1">
      <c r="A257" s="5"/>
      <c r="B257" s="5"/>
      <c r="C257" s="6"/>
      <c r="D257" s="6"/>
      <c r="E257" s="6"/>
      <c r="F257" s="5"/>
      <c r="G257" s="5"/>
      <c r="H257" s="5"/>
      <c r="I257" s="6"/>
      <c r="J257" s="6"/>
      <c r="K257" s="6"/>
      <c r="L257" s="5"/>
      <c r="M257" s="5"/>
      <c r="N257" s="5"/>
      <c r="O257" s="6"/>
      <c r="P257" s="6"/>
      <c r="Q257" s="6"/>
      <c r="R257" s="5"/>
      <c r="S257" s="5"/>
      <c r="T257" s="5"/>
      <c r="U257" s="5"/>
      <c r="V257" s="5"/>
      <c r="W257" s="5"/>
    </row>
    <row r="258" ht="14.25" customHeight="1">
      <c r="A258" s="5"/>
      <c r="B258" s="5"/>
      <c r="C258" s="6"/>
      <c r="D258" s="6"/>
      <c r="E258" s="6"/>
      <c r="F258" s="5"/>
      <c r="G258" s="5"/>
      <c r="H258" s="5"/>
      <c r="I258" s="6"/>
      <c r="J258" s="6"/>
      <c r="K258" s="6"/>
      <c r="L258" s="5"/>
      <c r="M258" s="5"/>
      <c r="N258" s="5"/>
      <c r="O258" s="6"/>
      <c r="P258" s="6"/>
      <c r="Q258" s="6"/>
      <c r="R258" s="5"/>
      <c r="S258" s="5"/>
      <c r="T258" s="5"/>
      <c r="U258" s="5"/>
      <c r="V258" s="5"/>
      <c r="W258" s="5"/>
    </row>
    <row r="259" ht="14.25" customHeight="1">
      <c r="A259" s="5"/>
      <c r="B259" s="5"/>
      <c r="C259" s="6"/>
      <c r="D259" s="6"/>
      <c r="E259" s="6"/>
      <c r="F259" s="5"/>
      <c r="G259" s="5"/>
      <c r="H259" s="5"/>
      <c r="I259" s="6"/>
      <c r="J259" s="6"/>
      <c r="K259" s="6"/>
      <c r="L259" s="5"/>
      <c r="M259" s="5"/>
      <c r="N259" s="5"/>
      <c r="O259" s="6"/>
      <c r="P259" s="6"/>
      <c r="Q259" s="6"/>
      <c r="R259" s="5"/>
      <c r="S259" s="5"/>
      <c r="T259" s="5"/>
      <c r="U259" s="5"/>
      <c r="V259" s="5"/>
      <c r="W259" s="5"/>
    </row>
    <row r="260" ht="14.25" customHeight="1">
      <c r="A260" s="5"/>
      <c r="B260" s="5"/>
      <c r="C260" s="6"/>
      <c r="D260" s="6"/>
      <c r="E260" s="6"/>
      <c r="F260" s="5"/>
      <c r="G260" s="5"/>
      <c r="H260" s="5"/>
      <c r="I260" s="6"/>
      <c r="J260" s="6"/>
      <c r="K260" s="6"/>
      <c r="L260" s="5"/>
      <c r="M260" s="5"/>
      <c r="N260" s="5"/>
      <c r="O260" s="6"/>
      <c r="P260" s="6"/>
      <c r="Q260" s="6"/>
      <c r="R260" s="5"/>
      <c r="S260" s="5"/>
      <c r="T260" s="5"/>
      <c r="U260" s="5"/>
      <c r="V260" s="5"/>
      <c r="W260" s="5"/>
    </row>
    <row r="261" ht="14.25" customHeight="1">
      <c r="A261" s="5"/>
      <c r="B261" s="5"/>
      <c r="C261" s="6"/>
      <c r="D261" s="6"/>
      <c r="E261" s="6"/>
      <c r="F261" s="5"/>
      <c r="G261" s="5"/>
      <c r="H261" s="5"/>
      <c r="I261" s="6"/>
      <c r="J261" s="6"/>
      <c r="K261" s="6"/>
      <c r="L261" s="5"/>
      <c r="M261" s="5"/>
      <c r="N261" s="5"/>
      <c r="O261" s="6"/>
      <c r="P261" s="6"/>
      <c r="Q261" s="6"/>
      <c r="R261" s="5"/>
      <c r="S261" s="5"/>
      <c r="T261" s="5"/>
      <c r="U261" s="5"/>
      <c r="V261" s="5"/>
      <c r="W261" s="5"/>
    </row>
    <row r="262" ht="14.25" customHeight="1">
      <c r="A262" s="5"/>
      <c r="B262" s="5"/>
      <c r="C262" s="6"/>
      <c r="D262" s="6"/>
      <c r="E262" s="6"/>
      <c r="F262" s="5"/>
      <c r="G262" s="5"/>
      <c r="H262" s="5"/>
      <c r="I262" s="6"/>
      <c r="J262" s="6"/>
      <c r="K262" s="6"/>
      <c r="L262" s="5"/>
      <c r="M262" s="5"/>
      <c r="N262" s="5"/>
      <c r="O262" s="6"/>
      <c r="P262" s="6"/>
      <c r="Q262" s="6"/>
      <c r="R262" s="5"/>
      <c r="S262" s="5"/>
      <c r="T262" s="5"/>
      <c r="U262" s="5"/>
      <c r="V262" s="5"/>
      <c r="W262" s="5"/>
    </row>
    <row r="263" ht="14.25" customHeight="1">
      <c r="A263" s="5"/>
      <c r="B263" s="5"/>
      <c r="C263" s="6"/>
      <c r="D263" s="6"/>
      <c r="E263" s="6"/>
      <c r="F263" s="5"/>
      <c r="G263" s="5"/>
      <c r="H263" s="5"/>
      <c r="I263" s="6"/>
      <c r="J263" s="6"/>
      <c r="K263" s="6"/>
      <c r="L263" s="5"/>
      <c r="M263" s="5"/>
      <c r="N263" s="5"/>
      <c r="O263" s="6"/>
      <c r="P263" s="6"/>
      <c r="Q263" s="6"/>
      <c r="R263" s="5"/>
      <c r="S263" s="5"/>
      <c r="T263" s="5"/>
      <c r="U263" s="5"/>
      <c r="V263" s="5"/>
      <c r="W263" s="5"/>
    </row>
    <row r="264" ht="14.25" customHeight="1">
      <c r="A264" s="5"/>
      <c r="B264" s="5"/>
      <c r="C264" s="6"/>
      <c r="D264" s="6"/>
      <c r="E264" s="6"/>
      <c r="F264" s="5"/>
      <c r="G264" s="5"/>
      <c r="H264" s="5"/>
      <c r="I264" s="6"/>
      <c r="J264" s="6"/>
      <c r="K264" s="6"/>
      <c r="L264" s="5"/>
      <c r="M264" s="5"/>
      <c r="N264" s="5"/>
      <c r="O264" s="6"/>
      <c r="P264" s="6"/>
      <c r="Q264" s="6"/>
      <c r="R264" s="5"/>
      <c r="S264" s="5"/>
      <c r="T264" s="5"/>
      <c r="U264" s="5"/>
      <c r="V264" s="5"/>
      <c r="W264" s="5"/>
    </row>
    <row r="265" ht="14.25" customHeight="1">
      <c r="A265" s="5"/>
      <c r="B265" s="5"/>
      <c r="C265" s="6"/>
      <c r="D265" s="6"/>
      <c r="E265" s="6"/>
      <c r="F265" s="5"/>
      <c r="G265" s="5"/>
      <c r="H265" s="5"/>
      <c r="I265" s="6"/>
      <c r="J265" s="6"/>
      <c r="K265" s="6"/>
      <c r="L265" s="5"/>
      <c r="M265" s="5"/>
      <c r="N265" s="5"/>
      <c r="O265" s="6"/>
      <c r="P265" s="6"/>
      <c r="Q265" s="6"/>
      <c r="R265" s="5"/>
      <c r="S265" s="5"/>
      <c r="T265" s="5"/>
      <c r="U265" s="5"/>
      <c r="V265" s="5"/>
      <c r="W265" s="5"/>
    </row>
    <row r="266" ht="14.25" customHeight="1">
      <c r="A266" s="5"/>
      <c r="B266" s="5"/>
      <c r="C266" s="6"/>
      <c r="D266" s="6"/>
      <c r="E266" s="6"/>
      <c r="F266" s="5"/>
      <c r="G266" s="5"/>
      <c r="H266" s="5"/>
      <c r="I266" s="6"/>
      <c r="J266" s="6"/>
      <c r="K266" s="6"/>
      <c r="L266" s="5"/>
      <c r="M266" s="5"/>
      <c r="N266" s="5"/>
      <c r="O266" s="6"/>
      <c r="P266" s="6"/>
      <c r="Q266" s="6"/>
      <c r="R266" s="5"/>
      <c r="S266" s="5"/>
      <c r="T266" s="5"/>
      <c r="U266" s="5"/>
      <c r="V266" s="5"/>
      <c r="W266" s="5"/>
    </row>
    <row r="267" ht="14.25" customHeight="1">
      <c r="A267" s="5"/>
      <c r="B267" s="5"/>
      <c r="C267" s="6"/>
      <c r="D267" s="6"/>
      <c r="E267" s="6"/>
      <c r="F267" s="5"/>
      <c r="G267" s="5"/>
      <c r="H267" s="5"/>
      <c r="I267" s="6"/>
      <c r="J267" s="6"/>
      <c r="K267" s="6"/>
      <c r="L267" s="5"/>
      <c r="M267" s="5"/>
      <c r="N267" s="5"/>
      <c r="O267" s="6"/>
      <c r="P267" s="6"/>
      <c r="Q267" s="6"/>
      <c r="R267" s="5"/>
      <c r="S267" s="5"/>
      <c r="T267" s="5"/>
      <c r="U267" s="5"/>
      <c r="V267" s="5"/>
      <c r="W267" s="5"/>
    </row>
    <row r="268" ht="14.25" customHeight="1">
      <c r="A268" s="5"/>
      <c r="B268" s="5"/>
      <c r="C268" s="6"/>
      <c r="D268" s="6"/>
      <c r="E268" s="6"/>
      <c r="F268" s="5"/>
      <c r="G268" s="5"/>
      <c r="H268" s="5"/>
      <c r="I268" s="6"/>
      <c r="J268" s="6"/>
      <c r="K268" s="6"/>
      <c r="L268" s="5"/>
      <c r="M268" s="5"/>
      <c r="N268" s="5"/>
      <c r="O268" s="6"/>
      <c r="P268" s="6"/>
      <c r="Q268" s="6"/>
      <c r="R268" s="5"/>
      <c r="S268" s="5"/>
      <c r="T268" s="5"/>
      <c r="U268" s="5"/>
      <c r="V268" s="5"/>
      <c r="W268" s="5"/>
    </row>
    <row r="269" ht="14.25" customHeight="1">
      <c r="A269" s="5"/>
      <c r="B269" s="5"/>
      <c r="C269" s="6"/>
      <c r="D269" s="6"/>
      <c r="E269" s="6"/>
      <c r="F269" s="5"/>
      <c r="G269" s="5"/>
      <c r="H269" s="5"/>
      <c r="I269" s="6"/>
      <c r="J269" s="6"/>
      <c r="K269" s="6"/>
      <c r="L269" s="5"/>
      <c r="M269" s="5"/>
      <c r="N269" s="5"/>
      <c r="O269" s="6"/>
      <c r="P269" s="6"/>
      <c r="Q269" s="6"/>
      <c r="R269" s="5"/>
      <c r="S269" s="5"/>
      <c r="T269" s="5"/>
      <c r="U269" s="5"/>
      <c r="V269" s="5"/>
      <c r="W269" s="5"/>
    </row>
    <row r="270" ht="14.25" customHeight="1">
      <c r="A270" s="5"/>
      <c r="B270" s="5"/>
      <c r="C270" s="6"/>
      <c r="D270" s="6"/>
      <c r="E270" s="6"/>
      <c r="F270" s="5"/>
      <c r="G270" s="5"/>
      <c r="H270" s="5"/>
      <c r="I270" s="6"/>
      <c r="J270" s="6"/>
      <c r="K270" s="6"/>
      <c r="L270" s="5"/>
      <c r="M270" s="5"/>
      <c r="N270" s="5"/>
      <c r="O270" s="6"/>
      <c r="P270" s="6"/>
      <c r="Q270" s="6"/>
      <c r="R270" s="5"/>
      <c r="S270" s="5"/>
      <c r="T270" s="5"/>
      <c r="U270" s="5"/>
      <c r="V270" s="5"/>
      <c r="W270" s="5"/>
    </row>
    <row r="271" ht="14.25" customHeight="1">
      <c r="A271" s="5"/>
      <c r="B271" s="5"/>
      <c r="C271" s="6"/>
      <c r="D271" s="6"/>
      <c r="E271" s="6"/>
      <c r="F271" s="5"/>
      <c r="G271" s="5"/>
      <c r="H271" s="5"/>
      <c r="I271" s="6"/>
      <c r="J271" s="6"/>
      <c r="K271" s="6"/>
      <c r="L271" s="5"/>
      <c r="M271" s="5"/>
      <c r="N271" s="5"/>
      <c r="O271" s="6"/>
      <c r="P271" s="6"/>
      <c r="Q271" s="6"/>
      <c r="R271" s="5"/>
      <c r="S271" s="5"/>
      <c r="T271" s="5"/>
      <c r="U271" s="5"/>
      <c r="V271" s="5"/>
      <c r="W271" s="5"/>
    </row>
    <row r="272" ht="14.25" customHeight="1">
      <c r="A272" s="5"/>
      <c r="B272" s="5"/>
      <c r="C272" s="6"/>
      <c r="D272" s="6"/>
      <c r="E272" s="6"/>
      <c r="F272" s="5"/>
      <c r="G272" s="5"/>
      <c r="H272" s="5"/>
      <c r="I272" s="6"/>
      <c r="J272" s="6"/>
      <c r="K272" s="6"/>
      <c r="L272" s="5"/>
      <c r="M272" s="5"/>
      <c r="N272" s="5"/>
      <c r="O272" s="6"/>
      <c r="P272" s="6"/>
      <c r="Q272" s="6"/>
      <c r="R272" s="5"/>
      <c r="S272" s="5"/>
      <c r="T272" s="5"/>
      <c r="U272" s="5"/>
      <c r="V272" s="5"/>
      <c r="W272" s="5"/>
    </row>
    <row r="273" ht="14.25" customHeight="1">
      <c r="A273" s="5"/>
      <c r="B273" s="5"/>
      <c r="C273" s="6"/>
      <c r="D273" s="6"/>
      <c r="E273" s="6"/>
      <c r="F273" s="5"/>
      <c r="G273" s="5"/>
      <c r="H273" s="5"/>
      <c r="I273" s="6"/>
      <c r="J273" s="6"/>
      <c r="K273" s="6"/>
      <c r="L273" s="5"/>
      <c r="M273" s="5"/>
      <c r="N273" s="5"/>
      <c r="O273" s="6"/>
      <c r="P273" s="6"/>
      <c r="Q273" s="6"/>
      <c r="R273" s="5"/>
      <c r="S273" s="5"/>
      <c r="T273" s="5"/>
      <c r="U273" s="5"/>
      <c r="V273" s="5"/>
      <c r="W273" s="5"/>
    </row>
    <row r="274" ht="14.25" customHeight="1">
      <c r="A274" s="5"/>
      <c r="B274" s="5"/>
      <c r="C274" s="6"/>
      <c r="D274" s="6"/>
      <c r="E274" s="6"/>
      <c r="F274" s="5"/>
      <c r="G274" s="5"/>
      <c r="H274" s="5"/>
      <c r="I274" s="6"/>
      <c r="J274" s="6"/>
      <c r="K274" s="6"/>
      <c r="L274" s="5"/>
      <c r="M274" s="5"/>
      <c r="N274" s="5"/>
      <c r="O274" s="6"/>
      <c r="P274" s="6"/>
      <c r="Q274" s="6"/>
      <c r="R274" s="5"/>
      <c r="S274" s="5"/>
      <c r="T274" s="5"/>
      <c r="U274" s="5"/>
      <c r="V274" s="5"/>
      <c r="W274" s="5"/>
    </row>
    <row r="275" ht="14.25" customHeight="1">
      <c r="A275" s="5"/>
      <c r="B275" s="5"/>
      <c r="C275" s="6"/>
      <c r="D275" s="6"/>
      <c r="E275" s="6"/>
      <c r="F275" s="5"/>
      <c r="G275" s="5"/>
      <c r="H275" s="5"/>
      <c r="I275" s="6"/>
      <c r="J275" s="6"/>
      <c r="K275" s="6"/>
      <c r="L275" s="5"/>
      <c r="M275" s="5"/>
      <c r="N275" s="5"/>
      <c r="O275" s="6"/>
      <c r="P275" s="6"/>
      <c r="Q275" s="6"/>
      <c r="R275" s="5"/>
      <c r="S275" s="5"/>
      <c r="T275" s="5"/>
      <c r="U275" s="5"/>
      <c r="V275" s="5"/>
      <c r="W275" s="5"/>
    </row>
    <row r="276" ht="14.25" customHeight="1">
      <c r="A276" s="5"/>
      <c r="B276" s="5"/>
      <c r="C276" s="6"/>
      <c r="D276" s="6"/>
      <c r="E276" s="6"/>
      <c r="F276" s="5"/>
      <c r="G276" s="5"/>
      <c r="H276" s="5"/>
      <c r="I276" s="6"/>
      <c r="J276" s="6"/>
      <c r="K276" s="6"/>
      <c r="L276" s="5"/>
      <c r="M276" s="5"/>
      <c r="N276" s="5"/>
      <c r="O276" s="6"/>
      <c r="P276" s="6"/>
      <c r="Q276" s="6"/>
      <c r="R276" s="5"/>
      <c r="S276" s="5"/>
      <c r="T276" s="5"/>
      <c r="U276" s="5"/>
      <c r="V276" s="5"/>
      <c r="W276" s="5"/>
    </row>
    <row r="277" ht="14.25" customHeight="1">
      <c r="A277" s="5"/>
      <c r="B277" s="5"/>
      <c r="C277" s="6"/>
      <c r="D277" s="6"/>
      <c r="E277" s="6"/>
      <c r="F277" s="5"/>
      <c r="G277" s="5"/>
      <c r="H277" s="5"/>
      <c r="I277" s="6"/>
      <c r="J277" s="6"/>
      <c r="K277" s="6"/>
      <c r="L277" s="5"/>
      <c r="M277" s="5"/>
      <c r="N277" s="5"/>
      <c r="O277" s="6"/>
      <c r="P277" s="6"/>
      <c r="Q277" s="6"/>
      <c r="R277" s="5"/>
      <c r="S277" s="5"/>
      <c r="T277" s="5"/>
      <c r="U277" s="5"/>
      <c r="V277" s="5"/>
      <c r="W277" s="5"/>
    </row>
    <row r="278" ht="14.25" customHeight="1">
      <c r="A278" s="5"/>
      <c r="B278" s="5"/>
      <c r="C278" s="6"/>
      <c r="D278" s="6"/>
      <c r="E278" s="6"/>
      <c r="F278" s="5"/>
      <c r="G278" s="5"/>
      <c r="H278" s="5"/>
      <c r="I278" s="6"/>
      <c r="J278" s="6"/>
      <c r="K278" s="6"/>
      <c r="L278" s="5"/>
      <c r="M278" s="5"/>
      <c r="N278" s="5"/>
      <c r="O278" s="6"/>
      <c r="P278" s="6"/>
      <c r="Q278" s="6"/>
      <c r="R278" s="5"/>
      <c r="S278" s="5"/>
      <c r="T278" s="5"/>
      <c r="U278" s="5"/>
      <c r="V278" s="5"/>
      <c r="W278" s="5"/>
    </row>
    <row r="279" ht="14.25" customHeight="1">
      <c r="A279" s="5"/>
      <c r="B279" s="5"/>
      <c r="C279" s="6"/>
      <c r="D279" s="6"/>
      <c r="E279" s="6"/>
      <c r="F279" s="5"/>
      <c r="G279" s="5"/>
      <c r="H279" s="5"/>
      <c r="I279" s="6"/>
      <c r="J279" s="6"/>
      <c r="K279" s="6"/>
      <c r="L279" s="5"/>
      <c r="M279" s="5"/>
      <c r="N279" s="5"/>
      <c r="O279" s="6"/>
      <c r="P279" s="6"/>
      <c r="Q279" s="6"/>
      <c r="R279" s="5"/>
      <c r="S279" s="5"/>
      <c r="T279" s="5"/>
      <c r="U279" s="5"/>
      <c r="V279" s="5"/>
      <c r="W279" s="5"/>
    </row>
    <row r="280" ht="14.25" customHeight="1">
      <c r="A280" s="5"/>
      <c r="B280" s="5"/>
      <c r="C280" s="6"/>
      <c r="D280" s="6"/>
      <c r="E280" s="6"/>
      <c r="F280" s="5"/>
      <c r="G280" s="5"/>
      <c r="H280" s="5"/>
      <c r="I280" s="6"/>
      <c r="J280" s="6"/>
      <c r="K280" s="6"/>
      <c r="L280" s="5"/>
      <c r="M280" s="5"/>
      <c r="N280" s="5"/>
      <c r="O280" s="6"/>
      <c r="P280" s="6"/>
      <c r="Q280" s="6"/>
      <c r="R280" s="5"/>
      <c r="S280" s="5"/>
      <c r="T280" s="5"/>
      <c r="U280" s="5"/>
      <c r="V280" s="5"/>
      <c r="W280" s="5"/>
    </row>
    <row r="281" ht="14.25" customHeight="1">
      <c r="A281" s="5"/>
      <c r="B281" s="5"/>
      <c r="C281" s="6"/>
      <c r="D281" s="6"/>
      <c r="E281" s="6"/>
      <c r="F281" s="5"/>
      <c r="G281" s="5"/>
      <c r="H281" s="5"/>
      <c r="I281" s="6"/>
      <c r="J281" s="6"/>
      <c r="K281" s="6"/>
      <c r="L281" s="5"/>
      <c r="M281" s="5"/>
      <c r="N281" s="5"/>
      <c r="O281" s="6"/>
      <c r="P281" s="6"/>
      <c r="Q281" s="6"/>
      <c r="R281" s="5"/>
      <c r="S281" s="5"/>
      <c r="T281" s="5"/>
      <c r="U281" s="5"/>
      <c r="V281" s="5"/>
      <c r="W281" s="5"/>
    </row>
    <row r="282" ht="14.25" customHeight="1">
      <c r="A282" s="5"/>
      <c r="B282" s="5"/>
      <c r="C282" s="6"/>
      <c r="D282" s="6"/>
      <c r="E282" s="6"/>
      <c r="F282" s="5"/>
      <c r="G282" s="5"/>
      <c r="H282" s="5"/>
      <c r="I282" s="6"/>
      <c r="J282" s="6"/>
      <c r="K282" s="6"/>
      <c r="L282" s="5"/>
      <c r="M282" s="5"/>
      <c r="N282" s="5"/>
      <c r="O282" s="6"/>
      <c r="P282" s="6"/>
      <c r="Q282" s="6"/>
      <c r="R282" s="5"/>
      <c r="S282" s="5"/>
      <c r="T282" s="5"/>
      <c r="U282" s="5"/>
      <c r="V282" s="5"/>
      <c r="W282" s="5"/>
    </row>
    <row r="283" ht="14.25" customHeight="1">
      <c r="A283" s="5"/>
      <c r="B283" s="5"/>
      <c r="C283" s="6"/>
      <c r="D283" s="6"/>
      <c r="E283" s="6"/>
      <c r="F283" s="5"/>
      <c r="G283" s="5"/>
      <c r="H283" s="5"/>
      <c r="I283" s="6"/>
      <c r="J283" s="6"/>
      <c r="K283" s="6"/>
      <c r="L283" s="5"/>
      <c r="M283" s="5"/>
      <c r="N283" s="5"/>
      <c r="O283" s="6"/>
      <c r="P283" s="6"/>
      <c r="Q283" s="6"/>
      <c r="R283" s="5"/>
      <c r="S283" s="5"/>
      <c r="T283" s="5"/>
      <c r="U283" s="5"/>
      <c r="V283" s="5"/>
      <c r="W283" s="5"/>
    </row>
    <row r="284" ht="14.25" customHeight="1">
      <c r="A284" s="5"/>
      <c r="B284" s="5"/>
      <c r="C284" s="6"/>
      <c r="D284" s="6"/>
      <c r="E284" s="6"/>
      <c r="F284" s="5"/>
      <c r="G284" s="5"/>
      <c r="H284" s="5"/>
      <c r="I284" s="6"/>
      <c r="J284" s="6"/>
      <c r="K284" s="6"/>
      <c r="L284" s="5"/>
      <c r="M284" s="5"/>
      <c r="N284" s="5"/>
      <c r="O284" s="6"/>
      <c r="P284" s="6"/>
      <c r="Q284" s="6"/>
      <c r="R284" s="5"/>
      <c r="S284" s="5"/>
      <c r="T284" s="5"/>
      <c r="U284" s="5"/>
      <c r="V284" s="5"/>
      <c r="W284" s="5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O5:R5"/>
    <mergeCell ref="Q6:Q7"/>
    <mergeCell ref="R6:R7"/>
    <mergeCell ref="D3:E3"/>
    <mergeCell ref="C5:F5"/>
    <mergeCell ref="I5:L5"/>
    <mergeCell ref="E6:E7"/>
    <mergeCell ref="F6:F7"/>
    <mergeCell ref="K6:K7"/>
    <mergeCell ref="L6:L7"/>
  </mergeCells>
  <conditionalFormatting sqref="F14:F84 L14:L84">
    <cfRule type="containsText" dxfId="3" priority="1" operator="containsText" text="Connect">
      <formula>NOT(ISERROR(SEARCH(("Connect"),(F14))))</formula>
    </cfRule>
  </conditionalFormatting>
  <conditionalFormatting sqref="F14:F84 L14:L84">
    <cfRule type="containsText" dxfId="1" priority="2" operator="containsText" text="FedEx">
      <formula>NOT(ISERROR(SEARCH(("FedEx"),(F14))))</formula>
    </cfRule>
  </conditionalFormatting>
  <conditionalFormatting sqref="F14:F84 L14:L84">
    <cfRule type="containsText" dxfId="2" priority="3" operator="containsText" text="UPS">
      <formula>NOT(ISERROR(SEARCH(("UPS"),(F14))))</formula>
    </cfRule>
  </conditionalFormatting>
  <conditionalFormatting sqref="R8:R84">
    <cfRule type="containsText" dxfId="4" priority="4" operator="containsText" text="DHL">
      <formula>NOT(ISERROR(SEARCH(("DHL"),(R8))))</formula>
    </cfRule>
  </conditionalFormatting>
  <conditionalFormatting sqref="R8:R84">
    <cfRule type="containsText" dxfId="1" priority="5" operator="containsText" text="FedEx">
      <formula>NOT(ISERROR(SEARCH(("FedEx"),(R8))))</formula>
    </cfRule>
  </conditionalFormatting>
  <conditionalFormatting sqref="R8:R84">
    <cfRule type="containsText" dxfId="2" priority="6" operator="containsText" text="UPS">
      <formula>NOT(ISERROR(SEARCH(("UPS"),(R8))))</formula>
    </cfRule>
  </conditionalFormatting>
  <dataValidations>
    <dataValidation type="list" allowBlank="1" showErrorMessage="1" sqref="D3">
      <formula1>Areas!$B$4:$B$200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9" width="9.71"/>
    <col customWidth="1" min="10" max="10" width="5.71"/>
    <col customWidth="1" min="11" max="16" width="9.71"/>
    <col customWidth="1" min="17" max="18" width="9.14"/>
    <col customWidth="1" min="19" max="19" width="5.71"/>
    <col customWidth="1" min="20" max="35" width="9.14"/>
  </cols>
  <sheetData>
    <row r="1" ht="14.25" customHeight="1">
      <c r="A1" s="2"/>
      <c r="B1" s="2"/>
      <c r="C1" s="4"/>
      <c r="D1" s="4"/>
      <c r="E1" s="4"/>
      <c r="F1" s="4"/>
      <c r="G1" s="4"/>
      <c r="H1" s="4"/>
      <c r="I1" s="4"/>
      <c r="J1" s="2"/>
      <c r="K1" s="1"/>
      <c r="L1" s="4"/>
      <c r="M1" s="4"/>
      <c r="N1" s="4"/>
      <c r="O1" s="4"/>
      <c r="P1" s="4"/>
      <c r="Q1" s="4"/>
      <c r="R1" s="4"/>
      <c r="S1" s="2"/>
      <c r="T1" s="9"/>
      <c r="U1" s="9"/>
      <c r="V1" s="9"/>
      <c r="W1" s="9"/>
      <c r="X1" s="9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ht="39.75" customHeight="1">
      <c r="A2" s="2"/>
      <c r="B2" s="9"/>
      <c r="C2" s="20" t="s">
        <v>2</v>
      </c>
      <c r="D2" s="22"/>
      <c r="E2" s="22"/>
      <c r="F2" s="22"/>
      <c r="G2" s="22"/>
      <c r="H2" s="22"/>
      <c r="I2" s="23"/>
      <c r="J2" s="24"/>
      <c r="K2" s="15"/>
      <c r="L2" s="20" t="s">
        <v>11</v>
      </c>
      <c r="M2" s="22"/>
      <c r="N2" s="22"/>
      <c r="O2" s="22"/>
      <c r="P2" s="22"/>
      <c r="Q2" s="22"/>
      <c r="R2" s="23"/>
      <c r="S2" s="24"/>
      <c r="T2" s="15"/>
      <c r="U2" s="20" t="s">
        <v>13</v>
      </c>
      <c r="V2" s="22"/>
      <c r="W2" s="22"/>
      <c r="X2" s="23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ht="14.25" customHeight="1">
      <c r="A3" s="2"/>
      <c r="B3" s="34"/>
      <c r="C3" s="37" t="s">
        <v>3</v>
      </c>
      <c r="D3" s="38" t="s">
        <v>5</v>
      </c>
      <c r="E3" s="37" t="s">
        <v>6</v>
      </c>
      <c r="F3" s="38" t="s">
        <v>7</v>
      </c>
      <c r="G3" s="37" t="s">
        <v>8</v>
      </c>
      <c r="H3" s="38" t="s">
        <v>9</v>
      </c>
      <c r="I3" s="40" t="s">
        <v>16</v>
      </c>
      <c r="J3" s="24"/>
      <c r="K3" s="42"/>
      <c r="L3" s="37" t="s">
        <v>3</v>
      </c>
      <c r="M3" s="38" t="s">
        <v>5</v>
      </c>
      <c r="N3" s="37" t="s">
        <v>6</v>
      </c>
      <c r="O3" s="38" t="s">
        <v>7</v>
      </c>
      <c r="P3" s="37" t="s">
        <v>8</v>
      </c>
      <c r="Q3" s="38" t="s">
        <v>9</v>
      </c>
      <c r="R3" s="40" t="s">
        <v>16</v>
      </c>
      <c r="S3" s="24"/>
      <c r="T3" s="42"/>
      <c r="U3" s="37" t="s">
        <v>3</v>
      </c>
      <c r="V3" s="38" t="s">
        <v>5</v>
      </c>
      <c r="W3" s="37" t="s">
        <v>6</v>
      </c>
      <c r="X3" s="48" t="s">
        <v>7</v>
      </c>
      <c r="Y3" s="24"/>
      <c r="Z3" s="2"/>
      <c r="AA3" s="2"/>
      <c r="AB3" s="2"/>
      <c r="AC3" s="2"/>
      <c r="AD3" s="2"/>
      <c r="AE3" s="2"/>
      <c r="AF3" s="2"/>
      <c r="AG3" s="2"/>
      <c r="AH3" s="2"/>
      <c r="AI3" s="2"/>
    </row>
    <row r="4" ht="14.25" customHeight="1">
      <c r="A4" s="2"/>
      <c r="B4" s="41"/>
      <c r="C4" s="53"/>
      <c r="D4" s="53"/>
      <c r="E4" s="53"/>
      <c r="F4" s="53"/>
      <c r="G4" s="53"/>
      <c r="H4" s="53"/>
      <c r="I4" s="57"/>
      <c r="J4" s="24"/>
      <c r="K4" s="41" t="s">
        <v>14</v>
      </c>
      <c r="L4" s="53">
        <v>18.52</v>
      </c>
      <c r="M4" s="53">
        <v>28.03</v>
      </c>
      <c r="N4" s="53">
        <v>32.77</v>
      </c>
      <c r="O4" s="53">
        <v>36.45</v>
      </c>
      <c r="P4" s="53">
        <v>33.69</v>
      </c>
      <c r="Q4" s="53">
        <v>35.86</v>
      </c>
      <c r="R4" s="57">
        <v>36.45</v>
      </c>
      <c r="S4" s="24"/>
      <c r="T4" s="41"/>
      <c r="U4" s="53"/>
      <c r="V4" s="53"/>
      <c r="W4" s="53"/>
      <c r="X4" s="57"/>
      <c r="Y4" s="24"/>
      <c r="Z4" s="2"/>
      <c r="AA4" s="2"/>
      <c r="AB4" s="2"/>
      <c r="AC4" s="2"/>
      <c r="AD4" s="2"/>
      <c r="AE4" s="2"/>
      <c r="AF4" s="2"/>
      <c r="AG4" s="2"/>
      <c r="AH4" s="2"/>
      <c r="AI4" s="2"/>
    </row>
    <row r="5" ht="14.25" customHeight="1">
      <c r="A5" s="2"/>
      <c r="B5" s="41"/>
      <c r="C5" s="68"/>
      <c r="D5" s="68"/>
      <c r="E5" s="68"/>
      <c r="F5" s="68"/>
      <c r="G5" s="68"/>
      <c r="H5" s="68"/>
      <c r="I5" s="70"/>
      <c r="J5" s="24"/>
      <c r="K5" s="41">
        <v>0.5</v>
      </c>
      <c r="L5" s="68">
        <v>14.82</v>
      </c>
      <c r="M5" s="68">
        <v>22.43</v>
      </c>
      <c r="N5" s="68">
        <v>26.22</v>
      </c>
      <c r="O5" s="68">
        <v>30.84</v>
      </c>
      <c r="P5" s="68">
        <v>30.63</v>
      </c>
      <c r="Q5" s="68">
        <v>35.86</v>
      </c>
      <c r="R5" s="70">
        <v>30.84</v>
      </c>
      <c r="S5" s="24"/>
      <c r="T5" s="41"/>
      <c r="U5" s="68"/>
      <c r="V5" s="68"/>
      <c r="W5" s="68"/>
      <c r="X5" s="70"/>
      <c r="Y5" s="24"/>
      <c r="Z5" s="2"/>
      <c r="AA5" s="2"/>
      <c r="AB5" s="2"/>
      <c r="AC5" s="2"/>
      <c r="AD5" s="2"/>
      <c r="AE5" s="2"/>
      <c r="AF5" s="2"/>
      <c r="AG5" s="2"/>
      <c r="AH5" s="2"/>
      <c r="AI5" s="2"/>
    </row>
    <row r="6" ht="14.25" customHeight="1">
      <c r="A6" s="2"/>
      <c r="B6" s="41"/>
      <c r="C6" s="53"/>
      <c r="D6" s="53"/>
      <c r="E6" s="53"/>
      <c r="F6" s="53"/>
      <c r="G6" s="53"/>
      <c r="H6" s="53"/>
      <c r="I6" s="57"/>
      <c r="J6" s="24"/>
      <c r="K6" s="41">
        <v>1.0</v>
      </c>
      <c r="L6" s="53">
        <v>19.6</v>
      </c>
      <c r="M6" s="53">
        <v>27.97</v>
      </c>
      <c r="N6" s="53">
        <v>33.84</v>
      </c>
      <c r="O6" s="53">
        <v>38.96</v>
      </c>
      <c r="P6" s="53">
        <v>38.15</v>
      </c>
      <c r="Q6" s="53">
        <v>43.2</v>
      </c>
      <c r="R6" s="57">
        <v>38.96</v>
      </c>
      <c r="S6" s="24"/>
      <c r="T6" s="41"/>
      <c r="U6" s="53"/>
      <c r="V6" s="53"/>
      <c r="W6" s="53"/>
      <c r="X6" s="57"/>
      <c r="Y6" s="24"/>
      <c r="Z6" s="2"/>
      <c r="AA6" s="2"/>
      <c r="AB6" s="2"/>
      <c r="AC6" s="2"/>
      <c r="AD6" s="2"/>
      <c r="AE6" s="2"/>
      <c r="AF6" s="2"/>
      <c r="AG6" s="2"/>
      <c r="AH6" s="2"/>
      <c r="AI6" s="2"/>
    </row>
    <row r="7" ht="14.25" customHeight="1">
      <c r="A7" s="2"/>
      <c r="B7" s="41"/>
      <c r="C7" s="68"/>
      <c r="D7" s="68"/>
      <c r="E7" s="68"/>
      <c r="F7" s="68"/>
      <c r="G7" s="68"/>
      <c r="H7" s="68"/>
      <c r="I7" s="70"/>
      <c r="J7" s="24"/>
      <c r="K7" s="41">
        <v>1.5</v>
      </c>
      <c r="L7" s="68">
        <v>23.86</v>
      </c>
      <c r="M7" s="68">
        <v>33.49</v>
      </c>
      <c r="N7" s="68">
        <v>40.81</v>
      </c>
      <c r="O7" s="68">
        <v>46.8</v>
      </c>
      <c r="P7" s="68">
        <v>45.42</v>
      </c>
      <c r="Q7" s="68">
        <v>50.83</v>
      </c>
      <c r="R7" s="70">
        <v>46.8</v>
      </c>
      <c r="S7" s="24"/>
      <c r="T7" s="41"/>
      <c r="U7" s="68"/>
      <c r="V7" s="68"/>
      <c r="W7" s="68"/>
      <c r="X7" s="70"/>
      <c r="Y7" s="24"/>
      <c r="Z7" s="2"/>
      <c r="AA7" s="2"/>
      <c r="AB7" s="2"/>
      <c r="AC7" s="2"/>
      <c r="AD7" s="2"/>
      <c r="AE7" s="2"/>
      <c r="AF7" s="2"/>
      <c r="AG7" s="2"/>
      <c r="AH7" s="2"/>
      <c r="AI7" s="2"/>
    </row>
    <row r="8" ht="14.25" customHeight="1">
      <c r="A8" s="2"/>
      <c r="B8" s="41"/>
      <c r="C8" s="53"/>
      <c r="D8" s="53"/>
      <c r="E8" s="53"/>
      <c r="F8" s="53"/>
      <c r="G8" s="53"/>
      <c r="H8" s="53"/>
      <c r="I8" s="57"/>
      <c r="J8" s="24"/>
      <c r="K8" s="41">
        <v>2.0</v>
      </c>
      <c r="L8" s="53">
        <v>28.12</v>
      </c>
      <c r="M8" s="53">
        <v>39.01</v>
      </c>
      <c r="N8" s="53">
        <v>47.78</v>
      </c>
      <c r="O8" s="53">
        <v>54.65</v>
      </c>
      <c r="P8" s="53">
        <v>52.69</v>
      </c>
      <c r="Q8" s="53">
        <v>58.46</v>
      </c>
      <c r="R8" s="57">
        <v>54.65</v>
      </c>
      <c r="S8" s="24"/>
      <c r="T8" s="41"/>
      <c r="U8" s="53"/>
      <c r="V8" s="53"/>
      <c r="W8" s="53"/>
      <c r="X8" s="57"/>
      <c r="Y8" s="24"/>
      <c r="Z8" s="2"/>
      <c r="AA8" s="2"/>
      <c r="AB8" s="2"/>
      <c r="AC8" s="2"/>
      <c r="AD8" s="2"/>
      <c r="AE8" s="2"/>
      <c r="AF8" s="2"/>
      <c r="AG8" s="2"/>
      <c r="AH8" s="2"/>
      <c r="AI8" s="2"/>
    </row>
    <row r="9" ht="14.25" customHeight="1">
      <c r="A9" s="2"/>
      <c r="B9" s="77"/>
      <c r="C9" s="107"/>
      <c r="D9" s="107"/>
      <c r="E9" s="107"/>
      <c r="F9" s="107"/>
      <c r="G9" s="107"/>
      <c r="H9" s="107"/>
      <c r="I9" s="110"/>
      <c r="J9" s="24"/>
      <c r="K9" s="77">
        <v>2.5</v>
      </c>
      <c r="L9" s="107">
        <v>32.38</v>
      </c>
      <c r="M9" s="107">
        <v>44.53</v>
      </c>
      <c r="N9" s="107">
        <v>54.76</v>
      </c>
      <c r="O9" s="107">
        <v>62.49</v>
      </c>
      <c r="P9" s="107">
        <v>59.96</v>
      </c>
      <c r="Q9" s="107">
        <v>66.09</v>
      </c>
      <c r="R9" s="110">
        <v>62.49</v>
      </c>
      <c r="S9" s="24"/>
      <c r="T9" s="77"/>
      <c r="U9" s="107"/>
      <c r="V9" s="107"/>
      <c r="W9" s="107"/>
      <c r="X9" s="110"/>
      <c r="Y9" s="24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ht="14.25" customHeight="1">
      <c r="A10" s="2"/>
      <c r="B10" s="114">
        <v>0.5</v>
      </c>
      <c r="C10" s="115">
        <v>28.12</v>
      </c>
      <c r="D10" s="115">
        <v>35.19</v>
      </c>
      <c r="E10" s="115">
        <v>35.49</v>
      </c>
      <c r="F10" s="115">
        <v>38.8</v>
      </c>
      <c r="G10" s="115">
        <v>41.87</v>
      </c>
      <c r="H10" s="115">
        <v>54.06</v>
      </c>
      <c r="I10" s="115">
        <v>42.29</v>
      </c>
      <c r="J10" s="116"/>
      <c r="K10" s="114">
        <v>0.5</v>
      </c>
      <c r="L10" s="115">
        <v>25.79</v>
      </c>
      <c r="M10" s="115">
        <v>32.03</v>
      </c>
      <c r="N10" s="115">
        <v>32.45</v>
      </c>
      <c r="O10" s="115">
        <v>38.18</v>
      </c>
      <c r="P10" s="115">
        <v>41.08</v>
      </c>
      <c r="Q10" s="115">
        <v>53.5</v>
      </c>
      <c r="R10" s="115">
        <v>38.17</v>
      </c>
      <c r="S10" s="24"/>
      <c r="T10" s="117">
        <v>0.5</v>
      </c>
      <c r="U10" s="118">
        <v>38.22</v>
      </c>
      <c r="V10" s="118">
        <v>48.95</v>
      </c>
      <c r="W10" s="118">
        <v>53.62</v>
      </c>
      <c r="X10" s="119">
        <v>62.15</v>
      </c>
      <c r="Y10" s="24"/>
      <c r="Z10" s="2">
        <f t="shared" ref="Z10:AF10" si="1">min(C10,L10)</f>
        <v>25.79</v>
      </c>
      <c r="AA10" s="2">
        <f t="shared" si="1"/>
        <v>32.03</v>
      </c>
      <c r="AB10" s="2">
        <f t="shared" si="1"/>
        <v>32.45</v>
      </c>
      <c r="AC10" s="2">
        <f t="shared" si="1"/>
        <v>38.18</v>
      </c>
      <c r="AD10" s="2">
        <f t="shared" si="1"/>
        <v>41.08</v>
      </c>
      <c r="AE10" s="2">
        <f t="shared" si="1"/>
        <v>53.5</v>
      </c>
      <c r="AF10" s="2">
        <f t="shared" si="1"/>
        <v>38.17</v>
      </c>
      <c r="AG10" s="2"/>
      <c r="AH10" s="2"/>
      <c r="AI10" s="2"/>
    </row>
    <row r="11" ht="14.25" customHeight="1">
      <c r="A11" s="2"/>
      <c r="B11" s="122">
        <v>1.0</v>
      </c>
      <c r="C11" s="123">
        <v>30.34</v>
      </c>
      <c r="D11" s="123">
        <v>39.52</v>
      </c>
      <c r="E11" s="123">
        <v>41.3</v>
      </c>
      <c r="F11" s="123">
        <v>45.01</v>
      </c>
      <c r="G11" s="123">
        <v>48.47</v>
      </c>
      <c r="H11" s="123">
        <v>62.05</v>
      </c>
      <c r="I11" s="123">
        <v>49.02</v>
      </c>
      <c r="J11" s="116"/>
      <c r="K11" s="122">
        <v>1.0</v>
      </c>
      <c r="L11" s="123">
        <v>27.79</v>
      </c>
      <c r="M11" s="123">
        <v>36.07</v>
      </c>
      <c r="N11" s="123">
        <v>37.7</v>
      </c>
      <c r="O11" s="123">
        <v>44.25</v>
      </c>
      <c r="P11" s="123">
        <v>47.43</v>
      </c>
      <c r="Q11" s="123">
        <v>61.43</v>
      </c>
      <c r="R11" s="123">
        <v>44.25</v>
      </c>
      <c r="S11" s="24"/>
      <c r="T11" s="124">
        <v>1.0</v>
      </c>
      <c r="U11" s="125">
        <v>38.22</v>
      </c>
      <c r="V11" s="125">
        <v>48.95</v>
      </c>
      <c r="W11" s="125">
        <v>53.62</v>
      </c>
      <c r="X11" s="126">
        <v>62.15</v>
      </c>
      <c r="Y11" s="24"/>
      <c r="Z11" s="2">
        <f t="shared" ref="Z11:AF11" si="2">min(C11,L11)</f>
        <v>27.79</v>
      </c>
      <c r="AA11" s="2">
        <f t="shared" si="2"/>
        <v>36.07</v>
      </c>
      <c r="AB11" s="2">
        <f t="shared" si="2"/>
        <v>37.7</v>
      </c>
      <c r="AC11" s="2">
        <f t="shared" si="2"/>
        <v>44.25</v>
      </c>
      <c r="AD11" s="2">
        <f t="shared" si="2"/>
        <v>47.43</v>
      </c>
      <c r="AE11" s="2">
        <f t="shared" si="2"/>
        <v>61.43</v>
      </c>
      <c r="AF11" s="2">
        <f t="shared" si="2"/>
        <v>44.25</v>
      </c>
      <c r="AG11" s="2"/>
      <c r="AH11" s="2"/>
      <c r="AI11" s="2"/>
    </row>
    <row r="12" ht="14.25" customHeight="1">
      <c r="A12" s="2"/>
      <c r="B12" s="114">
        <v>1.5</v>
      </c>
      <c r="C12" s="115">
        <v>32.56</v>
      </c>
      <c r="D12" s="115">
        <v>43.85</v>
      </c>
      <c r="E12" s="115">
        <v>47.11</v>
      </c>
      <c r="F12" s="115">
        <v>51.23</v>
      </c>
      <c r="G12" s="115">
        <v>55.07</v>
      </c>
      <c r="H12" s="115">
        <v>70.04</v>
      </c>
      <c r="I12" s="115">
        <v>55.74</v>
      </c>
      <c r="J12" s="116"/>
      <c r="K12" s="114">
        <v>1.5</v>
      </c>
      <c r="L12" s="115">
        <v>29.78</v>
      </c>
      <c r="M12" s="115">
        <v>40.11</v>
      </c>
      <c r="N12" s="115">
        <v>42.94</v>
      </c>
      <c r="O12" s="115">
        <v>50.32</v>
      </c>
      <c r="P12" s="115">
        <v>53.78</v>
      </c>
      <c r="Q12" s="115">
        <v>69.37</v>
      </c>
      <c r="R12" s="115">
        <v>50.33</v>
      </c>
      <c r="S12" s="24"/>
      <c r="T12" s="128">
        <v>1.5</v>
      </c>
      <c r="U12" s="130">
        <v>38.22</v>
      </c>
      <c r="V12" s="130">
        <v>48.95</v>
      </c>
      <c r="W12" s="130">
        <v>53.62</v>
      </c>
      <c r="X12" s="133">
        <v>62.15</v>
      </c>
      <c r="Y12" s="2"/>
      <c r="Z12" s="2">
        <f t="shared" ref="Z12:AF12" si="3">min(C12,L12)</f>
        <v>29.78</v>
      </c>
      <c r="AA12" s="2">
        <f t="shared" si="3"/>
        <v>40.11</v>
      </c>
      <c r="AB12" s="2">
        <f t="shared" si="3"/>
        <v>42.94</v>
      </c>
      <c r="AC12" s="2">
        <f t="shared" si="3"/>
        <v>50.32</v>
      </c>
      <c r="AD12" s="2">
        <f t="shared" si="3"/>
        <v>53.78</v>
      </c>
      <c r="AE12" s="2">
        <f t="shared" si="3"/>
        <v>69.37</v>
      </c>
      <c r="AF12" s="2">
        <f t="shared" si="3"/>
        <v>50.33</v>
      </c>
      <c r="AG12" s="2"/>
      <c r="AH12" s="2"/>
      <c r="AI12" s="2"/>
    </row>
    <row r="13" ht="14.25" customHeight="1">
      <c r="A13" s="2"/>
      <c r="B13" s="122">
        <v>2.0</v>
      </c>
      <c r="C13" s="123">
        <v>34.79</v>
      </c>
      <c r="D13" s="123">
        <v>48.18</v>
      </c>
      <c r="E13" s="123">
        <v>52.92</v>
      </c>
      <c r="F13" s="123">
        <v>57.44</v>
      </c>
      <c r="G13" s="123">
        <v>61.67</v>
      </c>
      <c r="H13" s="123">
        <v>78.04</v>
      </c>
      <c r="I13" s="123">
        <v>62.46</v>
      </c>
      <c r="J13" s="116"/>
      <c r="K13" s="122">
        <v>2.0</v>
      </c>
      <c r="L13" s="123">
        <v>31.77</v>
      </c>
      <c r="M13" s="123">
        <v>44.14</v>
      </c>
      <c r="N13" s="123">
        <v>48.19</v>
      </c>
      <c r="O13" s="123">
        <v>56.39</v>
      </c>
      <c r="P13" s="123">
        <v>60.13</v>
      </c>
      <c r="Q13" s="123">
        <v>77.3</v>
      </c>
      <c r="R13" s="123">
        <v>56.41</v>
      </c>
      <c r="S13" s="24"/>
      <c r="T13" s="124">
        <v>2.0</v>
      </c>
      <c r="U13" s="125">
        <v>38.22</v>
      </c>
      <c r="V13" s="125">
        <v>48.95</v>
      </c>
      <c r="W13" s="125">
        <v>53.62</v>
      </c>
      <c r="X13" s="126">
        <v>62.15</v>
      </c>
      <c r="Y13" s="2"/>
      <c r="Z13" s="2">
        <f t="shared" ref="Z13:AF13" si="4">min(C13,L13)</f>
        <v>31.77</v>
      </c>
      <c r="AA13" s="2">
        <f t="shared" si="4"/>
        <v>44.14</v>
      </c>
      <c r="AB13" s="2">
        <f t="shared" si="4"/>
        <v>48.19</v>
      </c>
      <c r="AC13" s="2">
        <f t="shared" si="4"/>
        <v>56.39</v>
      </c>
      <c r="AD13" s="2">
        <f t="shared" si="4"/>
        <v>60.13</v>
      </c>
      <c r="AE13" s="2">
        <f t="shared" si="4"/>
        <v>77.3</v>
      </c>
      <c r="AF13" s="2">
        <f t="shared" si="4"/>
        <v>56.41</v>
      </c>
      <c r="AG13" s="2"/>
      <c r="AH13" s="2"/>
      <c r="AI13" s="2"/>
    </row>
    <row r="14" ht="14.25" customHeight="1">
      <c r="A14" s="2"/>
      <c r="B14" s="114">
        <v>2.5</v>
      </c>
      <c r="C14" s="115">
        <v>37.01</v>
      </c>
      <c r="D14" s="115">
        <v>52.51</v>
      </c>
      <c r="E14" s="115">
        <v>58.73</v>
      </c>
      <c r="F14" s="115">
        <v>63.66</v>
      </c>
      <c r="G14" s="115">
        <v>68.27</v>
      </c>
      <c r="H14" s="115">
        <v>86.03</v>
      </c>
      <c r="I14" s="115">
        <v>69.18</v>
      </c>
      <c r="J14" s="116"/>
      <c r="K14" s="114">
        <v>2.5</v>
      </c>
      <c r="L14" s="115">
        <v>33.76</v>
      </c>
      <c r="M14" s="115">
        <v>48.18</v>
      </c>
      <c r="N14" s="115">
        <v>53.44</v>
      </c>
      <c r="O14" s="115">
        <v>62.46</v>
      </c>
      <c r="P14" s="115">
        <v>66.48</v>
      </c>
      <c r="Q14" s="115">
        <v>85.23</v>
      </c>
      <c r="R14" s="115">
        <v>62.49</v>
      </c>
      <c r="S14" s="24"/>
      <c r="T14" s="128">
        <v>2.5</v>
      </c>
      <c r="U14" s="130">
        <v>38.22</v>
      </c>
      <c r="V14" s="130">
        <v>48.95</v>
      </c>
      <c r="W14" s="130">
        <v>53.62</v>
      </c>
      <c r="X14" s="133">
        <v>62.15</v>
      </c>
      <c r="Y14" s="2"/>
      <c r="Z14" s="2">
        <f t="shared" ref="Z14:AF14" si="5">min(C14,L14)</f>
        <v>33.76</v>
      </c>
      <c r="AA14" s="2">
        <f t="shared" si="5"/>
        <v>48.18</v>
      </c>
      <c r="AB14" s="2">
        <f t="shared" si="5"/>
        <v>53.44</v>
      </c>
      <c r="AC14" s="2">
        <f t="shared" si="5"/>
        <v>62.46</v>
      </c>
      <c r="AD14" s="2">
        <f t="shared" si="5"/>
        <v>66.48</v>
      </c>
      <c r="AE14" s="2">
        <f t="shared" si="5"/>
        <v>85.23</v>
      </c>
      <c r="AF14" s="2">
        <f t="shared" si="5"/>
        <v>62.49</v>
      </c>
      <c r="AG14" s="2"/>
      <c r="AH14" s="2"/>
      <c r="AI14" s="2"/>
    </row>
    <row r="15" ht="14.25" customHeight="1">
      <c r="A15" s="2"/>
      <c r="B15" s="122">
        <v>3.0</v>
      </c>
      <c r="C15" s="123">
        <v>39.25</v>
      </c>
      <c r="D15" s="123">
        <v>57.04</v>
      </c>
      <c r="E15" s="123">
        <v>64.48</v>
      </c>
      <c r="F15" s="123">
        <v>69.81</v>
      </c>
      <c r="G15" s="123">
        <v>74.77</v>
      </c>
      <c r="H15" s="123">
        <v>93.64</v>
      </c>
      <c r="I15" s="123">
        <v>75.92</v>
      </c>
      <c r="J15" s="116"/>
      <c r="K15" s="122">
        <v>3.0</v>
      </c>
      <c r="L15" s="123">
        <v>35.73</v>
      </c>
      <c r="M15" s="123">
        <v>52.19</v>
      </c>
      <c r="N15" s="123">
        <v>58.72</v>
      </c>
      <c r="O15" s="123">
        <v>68.51</v>
      </c>
      <c r="P15" s="123">
        <v>73.19</v>
      </c>
      <c r="Q15" s="123">
        <v>93.15</v>
      </c>
      <c r="R15" s="123">
        <v>68.54</v>
      </c>
      <c r="S15" s="24"/>
      <c r="T15" s="124">
        <v>3.0</v>
      </c>
      <c r="U15" s="125">
        <v>69.02</v>
      </c>
      <c r="V15" s="125">
        <v>88.55</v>
      </c>
      <c r="W15" s="125">
        <v>96.25</v>
      </c>
      <c r="X15" s="126">
        <v>116.05</v>
      </c>
      <c r="Y15" s="2"/>
      <c r="Z15" s="2">
        <f t="shared" ref="Z15:AF15" si="6">min(C15,L15)</f>
        <v>35.73</v>
      </c>
      <c r="AA15" s="2">
        <f t="shared" si="6"/>
        <v>52.19</v>
      </c>
      <c r="AB15" s="2">
        <f t="shared" si="6"/>
        <v>58.72</v>
      </c>
      <c r="AC15" s="2">
        <f t="shared" si="6"/>
        <v>68.51</v>
      </c>
      <c r="AD15" s="2">
        <f t="shared" si="6"/>
        <v>73.19</v>
      </c>
      <c r="AE15" s="2">
        <f t="shared" si="6"/>
        <v>93.15</v>
      </c>
      <c r="AF15" s="2">
        <f t="shared" si="6"/>
        <v>68.54</v>
      </c>
      <c r="AG15" s="2"/>
      <c r="AH15" s="2"/>
      <c r="AI15" s="2"/>
    </row>
    <row r="16" ht="14.25" customHeight="1">
      <c r="A16" s="2"/>
      <c r="B16" s="114">
        <v>3.5</v>
      </c>
      <c r="C16" s="115">
        <v>41.48</v>
      </c>
      <c r="D16" s="115">
        <v>61.58</v>
      </c>
      <c r="E16" s="115">
        <v>70.23</v>
      </c>
      <c r="F16" s="115">
        <v>75.95</v>
      </c>
      <c r="G16" s="115">
        <v>81.27</v>
      </c>
      <c r="H16" s="115">
        <v>101.24</v>
      </c>
      <c r="I16" s="115">
        <v>82.66</v>
      </c>
      <c r="J16" s="116"/>
      <c r="K16" s="114">
        <v>3.5</v>
      </c>
      <c r="L16" s="115">
        <v>37.7</v>
      </c>
      <c r="M16" s="115">
        <v>56.21</v>
      </c>
      <c r="N16" s="115">
        <v>64.0</v>
      </c>
      <c r="O16" s="115">
        <v>74.56</v>
      </c>
      <c r="P16" s="115">
        <v>79.9</v>
      </c>
      <c r="Q16" s="115">
        <v>101.07</v>
      </c>
      <c r="R16" s="115">
        <v>74.59</v>
      </c>
      <c r="S16" s="24"/>
      <c r="T16" s="128">
        <v>3.5</v>
      </c>
      <c r="U16" s="130">
        <v>69.02</v>
      </c>
      <c r="V16" s="130">
        <v>88.55</v>
      </c>
      <c r="W16" s="130">
        <v>96.25</v>
      </c>
      <c r="X16" s="133">
        <v>116.05</v>
      </c>
      <c r="Y16" s="2"/>
      <c r="Z16" s="2">
        <f t="shared" ref="Z16:AF16" si="7">min(C16,L16)</f>
        <v>37.7</v>
      </c>
      <c r="AA16" s="2">
        <f t="shared" si="7"/>
        <v>56.21</v>
      </c>
      <c r="AB16" s="2">
        <f t="shared" si="7"/>
        <v>64</v>
      </c>
      <c r="AC16" s="2">
        <f t="shared" si="7"/>
        <v>74.56</v>
      </c>
      <c r="AD16" s="2">
        <f t="shared" si="7"/>
        <v>79.9</v>
      </c>
      <c r="AE16" s="2">
        <f t="shared" si="7"/>
        <v>101.07</v>
      </c>
      <c r="AF16" s="2">
        <f t="shared" si="7"/>
        <v>74.59</v>
      </c>
      <c r="AG16" s="2"/>
      <c r="AH16" s="2"/>
      <c r="AI16" s="2"/>
    </row>
    <row r="17" ht="14.25" customHeight="1">
      <c r="A17" s="2"/>
      <c r="B17" s="122">
        <v>4.0</v>
      </c>
      <c r="C17" s="123">
        <v>43.72</v>
      </c>
      <c r="D17" s="123">
        <v>66.12</v>
      </c>
      <c r="E17" s="123">
        <v>75.97</v>
      </c>
      <c r="F17" s="123">
        <v>82.1</v>
      </c>
      <c r="G17" s="123">
        <v>87.77</v>
      </c>
      <c r="H17" s="123">
        <v>108.85</v>
      </c>
      <c r="I17" s="123">
        <v>89.41</v>
      </c>
      <c r="J17" s="116"/>
      <c r="K17" s="122">
        <v>4.0</v>
      </c>
      <c r="L17" s="123">
        <v>39.67</v>
      </c>
      <c r="M17" s="123">
        <v>60.22</v>
      </c>
      <c r="N17" s="123">
        <v>69.28</v>
      </c>
      <c r="O17" s="123">
        <v>80.61</v>
      </c>
      <c r="P17" s="123">
        <v>86.61</v>
      </c>
      <c r="Q17" s="123">
        <v>108.99</v>
      </c>
      <c r="R17" s="123">
        <v>80.64</v>
      </c>
      <c r="S17" s="24"/>
      <c r="T17" s="124">
        <v>4.0</v>
      </c>
      <c r="U17" s="125">
        <v>69.02</v>
      </c>
      <c r="V17" s="125">
        <v>88.55</v>
      </c>
      <c r="W17" s="125">
        <v>96.25</v>
      </c>
      <c r="X17" s="126">
        <v>116.05</v>
      </c>
      <c r="Y17" s="2"/>
      <c r="Z17" s="2">
        <f t="shared" ref="Z17:AF17" si="8">min(C17,L17)</f>
        <v>39.67</v>
      </c>
      <c r="AA17" s="2">
        <f t="shared" si="8"/>
        <v>60.22</v>
      </c>
      <c r="AB17" s="2">
        <f t="shared" si="8"/>
        <v>69.28</v>
      </c>
      <c r="AC17" s="2">
        <f t="shared" si="8"/>
        <v>80.61</v>
      </c>
      <c r="AD17" s="2">
        <f t="shared" si="8"/>
        <v>86.61</v>
      </c>
      <c r="AE17" s="2">
        <f t="shared" si="8"/>
        <v>108.85</v>
      </c>
      <c r="AF17" s="2">
        <f t="shared" si="8"/>
        <v>80.64</v>
      </c>
      <c r="AG17" s="2"/>
      <c r="AH17" s="2"/>
      <c r="AI17" s="2"/>
    </row>
    <row r="18" ht="14.25" customHeight="1">
      <c r="A18" s="2"/>
      <c r="B18" s="114">
        <v>4.5</v>
      </c>
      <c r="C18" s="115">
        <v>45.95</v>
      </c>
      <c r="D18" s="115">
        <v>70.65</v>
      </c>
      <c r="E18" s="115">
        <v>81.72</v>
      </c>
      <c r="F18" s="115">
        <v>88.25</v>
      </c>
      <c r="G18" s="115">
        <v>94.27</v>
      </c>
      <c r="H18" s="115">
        <v>116.46</v>
      </c>
      <c r="I18" s="115">
        <v>96.15</v>
      </c>
      <c r="J18" s="116"/>
      <c r="K18" s="114">
        <v>4.5</v>
      </c>
      <c r="L18" s="115">
        <v>41.63</v>
      </c>
      <c r="M18" s="115">
        <v>64.24</v>
      </c>
      <c r="N18" s="115">
        <v>74.56</v>
      </c>
      <c r="O18" s="115">
        <v>86.66</v>
      </c>
      <c r="P18" s="115">
        <v>93.32</v>
      </c>
      <c r="Q18" s="115">
        <v>116.91</v>
      </c>
      <c r="R18" s="115">
        <v>86.69</v>
      </c>
      <c r="S18" s="24"/>
      <c r="T18" s="128">
        <v>4.5</v>
      </c>
      <c r="U18" s="130">
        <v>69.02</v>
      </c>
      <c r="V18" s="130">
        <v>88.55</v>
      </c>
      <c r="W18" s="130">
        <v>96.25</v>
      </c>
      <c r="X18" s="133">
        <v>116.05</v>
      </c>
      <c r="Y18" s="2"/>
      <c r="Z18" s="2">
        <f t="shared" ref="Z18:AF18" si="9">min(C18,L18)</f>
        <v>41.63</v>
      </c>
      <c r="AA18" s="2">
        <f t="shared" si="9"/>
        <v>64.24</v>
      </c>
      <c r="AB18" s="2">
        <f t="shared" si="9"/>
        <v>74.56</v>
      </c>
      <c r="AC18" s="2">
        <f t="shared" si="9"/>
        <v>86.66</v>
      </c>
      <c r="AD18" s="2">
        <f t="shared" si="9"/>
        <v>93.32</v>
      </c>
      <c r="AE18" s="2">
        <f t="shared" si="9"/>
        <v>116.46</v>
      </c>
      <c r="AF18" s="2">
        <f t="shared" si="9"/>
        <v>86.69</v>
      </c>
      <c r="AG18" s="2"/>
      <c r="AH18" s="2"/>
      <c r="AI18" s="2"/>
    </row>
    <row r="19" ht="14.25" customHeight="1">
      <c r="A19" s="2"/>
      <c r="B19" s="122">
        <v>5.0</v>
      </c>
      <c r="C19" s="123">
        <v>48.19</v>
      </c>
      <c r="D19" s="123">
        <v>75.19</v>
      </c>
      <c r="E19" s="123">
        <v>87.46</v>
      </c>
      <c r="F19" s="123">
        <v>94.4</v>
      </c>
      <c r="G19" s="123">
        <v>100.77</v>
      </c>
      <c r="H19" s="123">
        <v>124.07</v>
      </c>
      <c r="I19" s="123">
        <v>102.89</v>
      </c>
      <c r="J19" s="116"/>
      <c r="K19" s="122">
        <v>5.0</v>
      </c>
      <c r="L19" s="123">
        <v>43.6</v>
      </c>
      <c r="M19" s="123">
        <v>68.25</v>
      </c>
      <c r="N19" s="123">
        <v>79.84</v>
      </c>
      <c r="O19" s="123">
        <v>92.71</v>
      </c>
      <c r="P19" s="123">
        <v>100.03</v>
      </c>
      <c r="Q19" s="123">
        <v>124.83</v>
      </c>
      <c r="R19" s="123">
        <v>92.74</v>
      </c>
      <c r="S19" s="24"/>
      <c r="T19" s="124">
        <v>5.0</v>
      </c>
      <c r="U19" s="125">
        <v>69.02</v>
      </c>
      <c r="V19" s="125">
        <v>88.55</v>
      </c>
      <c r="W19" s="125">
        <v>96.25</v>
      </c>
      <c r="X19" s="126">
        <v>116.05</v>
      </c>
      <c r="Y19" s="2"/>
      <c r="Z19" s="2">
        <f t="shared" ref="Z19:AF19" si="10">min(C19,L19)</f>
        <v>43.6</v>
      </c>
      <c r="AA19" s="2">
        <f t="shared" si="10"/>
        <v>68.25</v>
      </c>
      <c r="AB19" s="2">
        <f t="shared" si="10"/>
        <v>79.84</v>
      </c>
      <c r="AC19" s="2">
        <f t="shared" si="10"/>
        <v>92.71</v>
      </c>
      <c r="AD19" s="2">
        <f t="shared" si="10"/>
        <v>100.03</v>
      </c>
      <c r="AE19" s="2">
        <f t="shared" si="10"/>
        <v>124.07</v>
      </c>
      <c r="AF19" s="2">
        <f t="shared" si="10"/>
        <v>92.74</v>
      </c>
      <c r="AG19" s="2"/>
      <c r="AH19" s="2"/>
      <c r="AI19" s="2"/>
    </row>
    <row r="20" ht="14.25" customHeight="1">
      <c r="A20" s="2"/>
      <c r="B20" s="114">
        <v>5.5</v>
      </c>
      <c r="C20" s="115">
        <v>50.01</v>
      </c>
      <c r="D20" s="115">
        <v>78.35</v>
      </c>
      <c r="E20" s="115">
        <v>91.18</v>
      </c>
      <c r="F20" s="115">
        <v>98.37</v>
      </c>
      <c r="G20" s="115">
        <v>106.37</v>
      </c>
      <c r="H20" s="115">
        <v>130.98</v>
      </c>
      <c r="I20" s="115">
        <v>107.14</v>
      </c>
      <c r="J20" s="116"/>
      <c r="K20" s="114">
        <v>5.5</v>
      </c>
      <c r="L20" s="115">
        <v>45.26</v>
      </c>
      <c r="M20" s="115">
        <v>71.2</v>
      </c>
      <c r="N20" s="115">
        <v>83.19</v>
      </c>
      <c r="O20" s="115">
        <v>96.57</v>
      </c>
      <c r="P20" s="115">
        <v>105.54</v>
      </c>
      <c r="Q20" s="115">
        <v>131.46</v>
      </c>
      <c r="R20" s="115">
        <v>96.58</v>
      </c>
      <c r="S20" s="24"/>
      <c r="T20" s="128">
        <v>5.5</v>
      </c>
      <c r="U20" s="130">
        <v>97.62</v>
      </c>
      <c r="V20" s="130">
        <v>124.3</v>
      </c>
      <c r="W20" s="130">
        <v>135.3</v>
      </c>
      <c r="X20" s="133">
        <v>152.35</v>
      </c>
      <c r="Y20" s="2"/>
      <c r="Z20" s="2">
        <f t="shared" ref="Z20:AF20" si="11">min(C20,L20)</f>
        <v>45.26</v>
      </c>
      <c r="AA20" s="2">
        <f t="shared" si="11"/>
        <v>71.2</v>
      </c>
      <c r="AB20" s="2">
        <f t="shared" si="11"/>
        <v>83.19</v>
      </c>
      <c r="AC20" s="2">
        <f t="shared" si="11"/>
        <v>96.57</v>
      </c>
      <c r="AD20" s="2">
        <f t="shared" si="11"/>
        <v>105.54</v>
      </c>
      <c r="AE20" s="2">
        <f t="shared" si="11"/>
        <v>130.98</v>
      </c>
      <c r="AF20" s="2">
        <f t="shared" si="11"/>
        <v>96.58</v>
      </c>
      <c r="AG20" s="2"/>
      <c r="AH20" s="2"/>
      <c r="AI20" s="2"/>
    </row>
    <row r="21" ht="14.25" customHeight="1">
      <c r="A21" s="2"/>
      <c r="B21" s="122">
        <v>6.0</v>
      </c>
      <c r="C21" s="123">
        <v>51.83</v>
      </c>
      <c r="D21" s="123">
        <v>81.51</v>
      </c>
      <c r="E21" s="123">
        <v>94.9</v>
      </c>
      <c r="F21" s="123">
        <v>102.34</v>
      </c>
      <c r="G21" s="123">
        <v>111.97</v>
      </c>
      <c r="H21" s="123">
        <v>137.89</v>
      </c>
      <c r="I21" s="123">
        <v>111.39</v>
      </c>
      <c r="J21" s="116"/>
      <c r="K21" s="122">
        <v>6.0</v>
      </c>
      <c r="L21" s="123">
        <v>46.93</v>
      </c>
      <c r="M21" s="123">
        <v>74.15</v>
      </c>
      <c r="N21" s="123">
        <v>86.55</v>
      </c>
      <c r="O21" s="123">
        <v>100.43</v>
      </c>
      <c r="P21" s="123">
        <v>111.05</v>
      </c>
      <c r="Q21" s="123">
        <v>138.09</v>
      </c>
      <c r="R21" s="123">
        <v>100.42</v>
      </c>
      <c r="S21" s="24"/>
      <c r="T21" s="124">
        <v>6.0</v>
      </c>
      <c r="U21" s="125">
        <v>97.62</v>
      </c>
      <c r="V21" s="125">
        <v>124.3</v>
      </c>
      <c r="W21" s="125">
        <v>135.3</v>
      </c>
      <c r="X21" s="126">
        <v>152.35</v>
      </c>
      <c r="Y21" s="2"/>
      <c r="Z21" s="2">
        <f t="shared" ref="Z21:AF21" si="12">min(C21,L21)</f>
        <v>46.93</v>
      </c>
      <c r="AA21" s="2">
        <f t="shared" si="12"/>
        <v>74.15</v>
      </c>
      <c r="AB21" s="2">
        <f t="shared" si="12"/>
        <v>86.55</v>
      </c>
      <c r="AC21" s="2">
        <f t="shared" si="12"/>
        <v>100.43</v>
      </c>
      <c r="AD21" s="2">
        <f t="shared" si="12"/>
        <v>111.05</v>
      </c>
      <c r="AE21" s="2">
        <f t="shared" si="12"/>
        <v>137.89</v>
      </c>
      <c r="AF21" s="2">
        <f t="shared" si="12"/>
        <v>100.42</v>
      </c>
      <c r="AG21" s="2"/>
      <c r="AH21" s="2"/>
      <c r="AI21" s="2"/>
    </row>
    <row r="22" ht="14.25" customHeight="1">
      <c r="A22" s="2"/>
      <c r="B22" s="114">
        <v>6.5</v>
      </c>
      <c r="C22" s="115">
        <v>53.65</v>
      </c>
      <c r="D22" s="115">
        <v>84.67</v>
      </c>
      <c r="E22" s="115">
        <v>98.62</v>
      </c>
      <c r="F22" s="115">
        <v>106.31</v>
      </c>
      <c r="G22" s="115">
        <v>117.57</v>
      </c>
      <c r="H22" s="115">
        <v>144.8</v>
      </c>
      <c r="I22" s="115">
        <v>115.63</v>
      </c>
      <c r="J22" s="116"/>
      <c r="K22" s="114">
        <v>6.5</v>
      </c>
      <c r="L22" s="115">
        <v>48.59</v>
      </c>
      <c r="M22" s="115">
        <v>77.1</v>
      </c>
      <c r="N22" s="115">
        <v>89.9</v>
      </c>
      <c r="O22" s="115">
        <v>104.29</v>
      </c>
      <c r="P22" s="115">
        <v>116.56</v>
      </c>
      <c r="Q22" s="115">
        <v>144.73</v>
      </c>
      <c r="R22" s="115">
        <v>104.26</v>
      </c>
      <c r="S22" s="24"/>
      <c r="T22" s="128">
        <v>6.5</v>
      </c>
      <c r="U22" s="130">
        <v>97.62</v>
      </c>
      <c r="V22" s="130">
        <v>124.3</v>
      </c>
      <c r="W22" s="130">
        <v>135.3</v>
      </c>
      <c r="X22" s="133">
        <v>152.35</v>
      </c>
      <c r="Y22" s="2"/>
      <c r="Z22" s="2">
        <f t="shared" ref="Z22:AF22" si="13">min(C22,L22)</f>
        <v>48.59</v>
      </c>
      <c r="AA22" s="2">
        <f t="shared" si="13"/>
        <v>77.1</v>
      </c>
      <c r="AB22" s="2">
        <f t="shared" si="13"/>
        <v>89.9</v>
      </c>
      <c r="AC22" s="2">
        <f t="shared" si="13"/>
        <v>104.29</v>
      </c>
      <c r="AD22" s="2">
        <f t="shared" si="13"/>
        <v>116.56</v>
      </c>
      <c r="AE22" s="2">
        <f t="shared" si="13"/>
        <v>144.73</v>
      </c>
      <c r="AF22" s="2">
        <f t="shared" si="13"/>
        <v>104.26</v>
      </c>
      <c r="AG22" s="2"/>
      <c r="AH22" s="2"/>
      <c r="AI22" s="2"/>
    </row>
    <row r="23" ht="14.25" customHeight="1">
      <c r="A23" s="2"/>
      <c r="B23" s="122">
        <v>7.0</v>
      </c>
      <c r="C23" s="123">
        <v>55.47</v>
      </c>
      <c r="D23" s="123">
        <v>87.83</v>
      </c>
      <c r="E23" s="123">
        <v>102.34</v>
      </c>
      <c r="F23" s="123">
        <v>110.29</v>
      </c>
      <c r="G23" s="123">
        <v>123.17</v>
      </c>
      <c r="H23" s="123">
        <v>151.72</v>
      </c>
      <c r="I23" s="123">
        <v>119.88</v>
      </c>
      <c r="J23" s="116"/>
      <c r="K23" s="122">
        <v>7.0</v>
      </c>
      <c r="L23" s="123">
        <v>50.25</v>
      </c>
      <c r="M23" s="123">
        <v>80.05</v>
      </c>
      <c r="N23" s="123">
        <v>93.26</v>
      </c>
      <c r="O23" s="123">
        <v>108.15</v>
      </c>
      <c r="P23" s="123">
        <v>122.07</v>
      </c>
      <c r="Q23" s="123">
        <v>151.36</v>
      </c>
      <c r="R23" s="123">
        <v>108.1</v>
      </c>
      <c r="S23" s="24"/>
      <c r="T23" s="124">
        <v>7.0</v>
      </c>
      <c r="U23" s="125">
        <v>97.62</v>
      </c>
      <c r="V23" s="125">
        <v>124.3</v>
      </c>
      <c r="W23" s="125">
        <v>135.3</v>
      </c>
      <c r="X23" s="126">
        <v>152.35</v>
      </c>
      <c r="Y23" s="2"/>
      <c r="Z23" s="2">
        <f t="shared" ref="Z23:AF23" si="14">min(C23,L23)</f>
        <v>50.25</v>
      </c>
      <c r="AA23" s="2">
        <f t="shared" si="14"/>
        <v>80.05</v>
      </c>
      <c r="AB23" s="2">
        <f t="shared" si="14"/>
        <v>93.26</v>
      </c>
      <c r="AC23" s="2">
        <f t="shared" si="14"/>
        <v>108.15</v>
      </c>
      <c r="AD23" s="2">
        <f t="shared" si="14"/>
        <v>122.07</v>
      </c>
      <c r="AE23" s="2">
        <f t="shared" si="14"/>
        <v>151.36</v>
      </c>
      <c r="AF23" s="2">
        <f t="shared" si="14"/>
        <v>108.1</v>
      </c>
      <c r="AG23" s="2"/>
      <c r="AH23" s="2"/>
      <c r="AI23" s="2"/>
    </row>
    <row r="24" ht="14.25" customHeight="1">
      <c r="A24" s="2"/>
      <c r="B24" s="114">
        <v>7.5</v>
      </c>
      <c r="C24" s="115">
        <v>57.29</v>
      </c>
      <c r="D24" s="115">
        <v>90.99</v>
      </c>
      <c r="E24" s="115">
        <v>106.05</v>
      </c>
      <c r="F24" s="115">
        <v>114.26</v>
      </c>
      <c r="G24" s="115">
        <v>128.77</v>
      </c>
      <c r="H24" s="115">
        <v>158.63</v>
      </c>
      <c r="I24" s="115">
        <v>124.12</v>
      </c>
      <c r="J24" s="116"/>
      <c r="K24" s="114">
        <v>7.5</v>
      </c>
      <c r="L24" s="115">
        <v>51.91</v>
      </c>
      <c r="M24" s="115">
        <v>82.99</v>
      </c>
      <c r="N24" s="115">
        <v>96.61</v>
      </c>
      <c r="O24" s="115">
        <v>112.01</v>
      </c>
      <c r="P24" s="115">
        <v>127.58</v>
      </c>
      <c r="Q24" s="115">
        <v>157.99</v>
      </c>
      <c r="R24" s="115">
        <v>111.94</v>
      </c>
      <c r="S24" s="24"/>
      <c r="T24" s="128">
        <v>7.5</v>
      </c>
      <c r="U24" s="130">
        <v>97.62</v>
      </c>
      <c r="V24" s="130">
        <v>124.3</v>
      </c>
      <c r="W24" s="130">
        <v>135.3</v>
      </c>
      <c r="X24" s="133">
        <v>152.35</v>
      </c>
      <c r="Y24" s="2"/>
      <c r="Z24" s="2">
        <f t="shared" ref="Z24:AF24" si="15">min(C24,L24)</f>
        <v>51.91</v>
      </c>
      <c r="AA24" s="2">
        <f t="shared" si="15"/>
        <v>82.99</v>
      </c>
      <c r="AB24" s="2">
        <f t="shared" si="15"/>
        <v>96.61</v>
      </c>
      <c r="AC24" s="2">
        <f t="shared" si="15"/>
        <v>112.01</v>
      </c>
      <c r="AD24" s="2">
        <f t="shared" si="15"/>
        <v>127.58</v>
      </c>
      <c r="AE24" s="2">
        <f t="shared" si="15"/>
        <v>157.99</v>
      </c>
      <c r="AF24" s="2">
        <f t="shared" si="15"/>
        <v>111.94</v>
      </c>
      <c r="AG24" s="2"/>
      <c r="AH24" s="2"/>
      <c r="AI24" s="2"/>
    </row>
    <row r="25" ht="14.25" customHeight="1">
      <c r="A25" s="2"/>
      <c r="B25" s="122">
        <v>8.0</v>
      </c>
      <c r="C25" s="123">
        <v>59.11</v>
      </c>
      <c r="D25" s="123">
        <v>94.15</v>
      </c>
      <c r="E25" s="123">
        <v>109.77</v>
      </c>
      <c r="F25" s="123">
        <v>118.23</v>
      </c>
      <c r="G25" s="123">
        <v>134.36</v>
      </c>
      <c r="H25" s="123">
        <v>165.54</v>
      </c>
      <c r="I25" s="123">
        <v>128.37</v>
      </c>
      <c r="J25" s="116"/>
      <c r="K25" s="122">
        <v>8.0</v>
      </c>
      <c r="L25" s="123">
        <v>53.57</v>
      </c>
      <c r="M25" s="123">
        <v>85.94</v>
      </c>
      <c r="N25" s="123">
        <v>99.97</v>
      </c>
      <c r="O25" s="123">
        <v>115.87</v>
      </c>
      <c r="P25" s="123">
        <v>133.09</v>
      </c>
      <c r="Q25" s="123">
        <v>164.63</v>
      </c>
      <c r="R25" s="123">
        <v>115.78</v>
      </c>
      <c r="S25" s="24"/>
      <c r="T25" s="124">
        <v>8.0</v>
      </c>
      <c r="U25" s="125">
        <v>97.62</v>
      </c>
      <c r="V25" s="125">
        <v>124.3</v>
      </c>
      <c r="W25" s="125">
        <v>135.3</v>
      </c>
      <c r="X25" s="126">
        <v>152.35</v>
      </c>
      <c r="Y25" s="2"/>
      <c r="Z25" s="2">
        <f t="shared" ref="Z25:AF25" si="16">min(C25,L25)</f>
        <v>53.57</v>
      </c>
      <c r="AA25" s="2">
        <f t="shared" si="16"/>
        <v>85.94</v>
      </c>
      <c r="AB25" s="2">
        <f t="shared" si="16"/>
        <v>99.97</v>
      </c>
      <c r="AC25" s="2">
        <f t="shared" si="16"/>
        <v>115.87</v>
      </c>
      <c r="AD25" s="2">
        <f t="shared" si="16"/>
        <v>133.09</v>
      </c>
      <c r="AE25" s="2">
        <f t="shared" si="16"/>
        <v>164.63</v>
      </c>
      <c r="AF25" s="2">
        <f t="shared" si="16"/>
        <v>115.78</v>
      </c>
      <c r="AG25" s="2"/>
      <c r="AH25" s="2"/>
      <c r="AI25" s="2"/>
    </row>
    <row r="26" ht="14.25" customHeight="1">
      <c r="A26" s="2"/>
      <c r="B26" s="114">
        <v>8.5</v>
      </c>
      <c r="C26" s="115">
        <v>60.93</v>
      </c>
      <c r="D26" s="115">
        <v>97.3</v>
      </c>
      <c r="E26" s="115">
        <v>113.49</v>
      </c>
      <c r="F26" s="115">
        <v>122.2</v>
      </c>
      <c r="G26" s="115">
        <v>139.96</v>
      </c>
      <c r="H26" s="115">
        <v>172.45</v>
      </c>
      <c r="I26" s="115">
        <v>132.62</v>
      </c>
      <c r="J26" s="116"/>
      <c r="K26" s="114">
        <v>8.5</v>
      </c>
      <c r="L26" s="115">
        <v>55.23</v>
      </c>
      <c r="M26" s="115">
        <v>88.89</v>
      </c>
      <c r="N26" s="115">
        <v>103.32</v>
      </c>
      <c r="O26" s="115">
        <v>119.73</v>
      </c>
      <c r="P26" s="115">
        <v>138.6</v>
      </c>
      <c r="Q26" s="115">
        <v>171.26</v>
      </c>
      <c r="R26" s="115">
        <v>119.62</v>
      </c>
      <c r="S26" s="24"/>
      <c r="T26" s="128">
        <v>8.5</v>
      </c>
      <c r="U26" s="130">
        <v>97.62</v>
      </c>
      <c r="V26" s="130">
        <v>124.3</v>
      </c>
      <c r="W26" s="130">
        <v>135.3</v>
      </c>
      <c r="X26" s="133">
        <v>152.35</v>
      </c>
      <c r="Y26" s="2"/>
      <c r="Z26" s="2">
        <f t="shared" ref="Z26:AF26" si="17">min(C26,L26)</f>
        <v>55.23</v>
      </c>
      <c r="AA26" s="2">
        <f t="shared" si="17"/>
        <v>88.89</v>
      </c>
      <c r="AB26" s="2">
        <f t="shared" si="17"/>
        <v>103.32</v>
      </c>
      <c r="AC26" s="2">
        <f t="shared" si="17"/>
        <v>119.73</v>
      </c>
      <c r="AD26" s="2">
        <f t="shared" si="17"/>
        <v>138.6</v>
      </c>
      <c r="AE26" s="2">
        <f t="shared" si="17"/>
        <v>171.26</v>
      </c>
      <c r="AF26" s="2">
        <f t="shared" si="17"/>
        <v>119.62</v>
      </c>
      <c r="AG26" s="2"/>
      <c r="AH26" s="2"/>
      <c r="AI26" s="2"/>
    </row>
    <row r="27" ht="14.25" customHeight="1">
      <c r="A27" s="2"/>
      <c r="B27" s="122">
        <v>9.0</v>
      </c>
      <c r="C27" s="123">
        <v>62.75</v>
      </c>
      <c r="D27" s="123">
        <v>100.46</v>
      </c>
      <c r="E27" s="123">
        <v>117.21</v>
      </c>
      <c r="F27" s="123">
        <v>126.17</v>
      </c>
      <c r="G27" s="123">
        <v>145.56</v>
      </c>
      <c r="H27" s="123">
        <v>179.36</v>
      </c>
      <c r="I27" s="123">
        <v>136.86</v>
      </c>
      <c r="J27" s="116"/>
      <c r="K27" s="122">
        <v>9.0</v>
      </c>
      <c r="L27" s="123">
        <v>56.89</v>
      </c>
      <c r="M27" s="123">
        <v>91.84</v>
      </c>
      <c r="N27" s="123">
        <v>106.68</v>
      </c>
      <c r="O27" s="123">
        <v>123.59</v>
      </c>
      <c r="P27" s="123">
        <v>144.11</v>
      </c>
      <c r="Q27" s="123">
        <v>177.89</v>
      </c>
      <c r="R27" s="123">
        <v>123.46</v>
      </c>
      <c r="S27" s="24"/>
      <c r="T27" s="124">
        <v>9.0</v>
      </c>
      <c r="U27" s="125">
        <v>97.62</v>
      </c>
      <c r="V27" s="125">
        <v>124.3</v>
      </c>
      <c r="W27" s="125">
        <v>135.3</v>
      </c>
      <c r="X27" s="126">
        <v>152.35</v>
      </c>
      <c r="Y27" s="2"/>
      <c r="Z27" s="2">
        <f t="shared" ref="Z27:AF27" si="18">min(C27,L27)</f>
        <v>56.89</v>
      </c>
      <c r="AA27" s="2">
        <f t="shared" si="18"/>
        <v>91.84</v>
      </c>
      <c r="AB27" s="2">
        <f t="shared" si="18"/>
        <v>106.68</v>
      </c>
      <c r="AC27" s="2">
        <f t="shared" si="18"/>
        <v>123.59</v>
      </c>
      <c r="AD27" s="2">
        <f t="shared" si="18"/>
        <v>144.11</v>
      </c>
      <c r="AE27" s="2">
        <f t="shared" si="18"/>
        <v>177.89</v>
      </c>
      <c r="AF27" s="2">
        <f t="shared" si="18"/>
        <v>123.46</v>
      </c>
      <c r="AG27" s="2"/>
      <c r="AH27" s="2"/>
      <c r="AI27" s="2"/>
    </row>
    <row r="28" ht="14.25" customHeight="1">
      <c r="A28" s="2"/>
      <c r="B28" s="72">
        <v>9.5</v>
      </c>
      <c r="C28" s="115">
        <v>64.57</v>
      </c>
      <c r="D28" s="115">
        <v>103.62</v>
      </c>
      <c r="E28" s="115">
        <v>120.93</v>
      </c>
      <c r="F28" s="115">
        <v>130.14</v>
      </c>
      <c r="G28" s="115">
        <v>151.16</v>
      </c>
      <c r="H28" s="115">
        <v>186.28</v>
      </c>
      <c r="I28" s="115">
        <v>141.11</v>
      </c>
      <c r="J28" s="116"/>
      <c r="K28" s="72">
        <v>9.5</v>
      </c>
      <c r="L28" s="115">
        <v>58.55</v>
      </c>
      <c r="M28" s="115">
        <v>94.79</v>
      </c>
      <c r="N28" s="115">
        <v>110.03</v>
      </c>
      <c r="O28" s="115">
        <v>127.45</v>
      </c>
      <c r="P28" s="115">
        <v>149.62</v>
      </c>
      <c r="Q28" s="115">
        <v>184.52</v>
      </c>
      <c r="R28" s="115">
        <v>127.3</v>
      </c>
      <c r="S28" s="24"/>
      <c r="T28" s="139">
        <v>9.5</v>
      </c>
      <c r="U28" s="130">
        <v>97.62</v>
      </c>
      <c r="V28" s="130">
        <v>124.3</v>
      </c>
      <c r="W28" s="130">
        <v>135.3</v>
      </c>
      <c r="X28" s="133">
        <v>152.35</v>
      </c>
      <c r="Y28" s="2"/>
      <c r="Z28" s="2">
        <f t="shared" ref="Z28:AF28" si="19">min(C28,L28)</f>
        <v>58.55</v>
      </c>
      <c r="AA28" s="2">
        <f t="shared" si="19"/>
        <v>94.79</v>
      </c>
      <c r="AB28" s="2">
        <f t="shared" si="19"/>
        <v>110.03</v>
      </c>
      <c r="AC28" s="2">
        <f t="shared" si="19"/>
        <v>127.45</v>
      </c>
      <c r="AD28" s="2">
        <f t="shared" si="19"/>
        <v>149.62</v>
      </c>
      <c r="AE28" s="2">
        <f t="shared" si="19"/>
        <v>184.52</v>
      </c>
      <c r="AF28" s="2">
        <f t="shared" si="19"/>
        <v>127.3</v>
      </c>
      <c r="AG28" s="2"/>
      <c r="AH28" s="2"/>
      <c r="AI28" s="2"/>
    </row>
    <row r="29" ht="14.25" customHeight="1">
      <c r="A29" s="2"/>
      <c r="B29" s="122">
        <v>10.0</v>
      </c>
      <c r="C29" s="123">
        <v>66.39</v>
      </c>
      <c r="D29" s="123">
        <v>106.78</v>
      </c>
      <c r="E29" s="123">
        <v>124.64</v>
      </c>
      <c r="F29" s="123">
        <v>134.11</v>
      </c>
      <c r="G29" s="123">
        <v>156.76</v>
      </c>
      <c r="H29" s="123">
        <v>193.19</v>
      </c>
      <c r="I29" s="123">
        <v>145.35</v>
      </c>
      <c r="J29" s="116"/>
      <c r="K29" s="122">
        <v>10.0</v>
      </c>
      <c r="L29" s="123">
        <v>60.21</v>
      </c>
      <c r="M29" s="123">
        <v>97.73</v>
      </c>
      <c r="N29" s="123">
        <v>113.39</v>
      </c>
      <c r="O29" s="123">
        <v>131.31</v>
      </c>
      <c r="P29" s="123">
        <v>155.13</v>
      </c>
      <c r="Q29" s="123">
        <v>191.16</v>
      </c>
      <c r="R29" s="123">
        <v>131.14</v>
      </c>
      <c r="S29" s="24"/>
      <c r="T29" s="124">
        <v>10.0</v>
      </c>
      <c r="U29" s="125">
        <v>97.62</v>
      </c>
      <c r="V29" s="125">
        <v>124.3</v>
      </c>
      <c r="W29" s="125">
        <v>135.3</v>
      </c>
      <c r="X29" s="126">
        <v>152.35</v>
      </c>
      <c r="Y29" s="2"/>
      <c r="Z29" s="2">
        <f t="shared" ref="Z29:AF29" si="20">min(C29,L29)</f>
        <v>60.21</v>
      </c>
      <c r="AA29" s="2">
        <f t="shared" si="20"/>
        <v>97.73</v>
      </c>
      <c r="AB29" s="2">
        <f t="shared" si="20"/>
        <v>113.39</v>
      </c>
      <c r="AC29" s="2">
        <f t="shared" si="20"/>
        <v>131.31</v>
      </c>
      <c r="AD29" s="2">
        <f t="shared" si="20"/>
        <v>155.13</v>
      </c>
      <c r="AE29" s="2">
        <f t="shared" si="20"/>
        <v>191.16</v>
      </c>
      <c r="AF29" s="2">
        <f t="shared" si="20"/>
        <v>131.14</v>
      </c>
      <c r="AG29" s="2"/>
      <c r="AH29" s="2"/>
      <c r="AI29" s="2"/>
    </row>
    <row r="30" ht="14.25" customHeight="1">
      <c r="A30" s="2"/>
      <c r="B30" s="114">
        <v>10.5</v>
      </c>
      <c r="C30" s="115">
        <v>69.24</v>
      </c>
      <c r="D30" s="115">
        <v>118.12</v>
      </c>
      <c r="E30" s="115">
        <v>137.05</v>
      </c>
      <c r="F30" s="115">
        <v>136.63</v>
      </c>
      <c r="G30" s="115">
        <v>204.57</v>
      </c>
      <c r="H30" s="115">
        <v>247.23</v>
      </c>
      <c r="I30" s="115">
        <v>145.99</v>
      </c>
      <c r="J30" s="116"/>
      <c r="K30" s="114">
        <v>10.5</v>
      </c>
      <c r="L30" s="115">
        <v>62.71</v>
      </c>
      <c r="M30" s="115">
        <v>109.52</v>
      </c>
      <c r="N30" s="115">
        <v>126.3</v>
      </c>
      <c r="O30" s="115">
        <v>133.77</v>
      </c>
      <c r="P30" s="115">
        <v>190.48</v>
      </c>
      <c r="Q30" s="115">
        <v>231.13</v>
      </c>
      <c r="R30" s="115">
        <v>133.62</v>
      </c>
      <c r="S30" s="24"/>
      <c r="T30" s="128">
        <v>10.5</v>
      </c>
      <c r="U30" s="130">
        <v>136.12</v>
      </c>
      <c r="V30" s="130">
        <v>172.7</v>
      </c>
      <c r="W30" s="130">
        <v>184.8</v>
      </c>
      <c r="X30" s="133">
        <v>226.6</v>
      </c>
      <c r="Y30" s="2"/>
      <c r="Z30" s="2">
        <f t="shared" ref="Z30:AF30" si="21">min(C30,L30)</f>
        <v>62.71</v>
      </c>
      <c r="AA30" s="2">
        <f t="shared" si="21"/>
        <v>109.52</v>
      </c>
      <c r="AB30" s="2">
        <f t="shared" si="21"/>
        <v>126.3</v>
      </c>
      <c r="AC30" s="2">
        <f t="shared" si="21"/>
        <v>133.77</v>
      </c>
      <c r="AD30" s="2">
        <f t="shared" si="21"/>
        <v>190.48</v>
      </c>
      <c r="AE30" s="2">
        <f t="shared" si="21"/>
        <v>231.13</v>
      </c>
      <c r="AF30" s="2">
        <f t="shared" si="21"/>
        <v>133.62</v>
      </c>
      <c r="AG30" s="2"/>
      <c r="AH30" s="2"/>
      <c r="AI30" s="2"/>
    </row>
    <row r="31" ht="14.25" customHeight="1">
      <c r="A31" s="2"/>
      <c r="B31" s="122">
        <v>11.0</v>
      </c>
      <c r="C31" s="123">
        <v>72.08</v>
      </c>
      <c r="D31" s="123">
        <v>121.24</v>
      </c>
      <c r="E31" s="123">
        <v>139.86</v>
      </c>
      <c r="F31" s="123">
        <v>139.15</v>
      </c>
      <c r="G31" s="123">
        <v>209.62</v>
      </c>
      <c r="H31" s="123">
        <v>252.97</v>
      </c>
      <c r="I31" s="123">
        <v>146.63</v>
      </c>
      <c r="J31" s="116"/>
      <c r="K31" s="122">
        <v>11.0</v>
      </c>
      <c r="L31" s="123">
        <v>65.21</v>
      </c>
      <c r="M31" s="123">
        <v>112.43</v>
      </c>
      <c r="N31" s="123">
        <v>128.9</v>
      </c>
      <c r="O31" s="123">
        <v>136.23</v>
      </c>
      <c r="P31" s="123">
        <v>194.8</v>
      </c>
      <c r="Q31" s="123">
        <v>236.34</v>
      </c>
      <c r="R31" s="123">
        <v>136.1</v>
      </c>
      <c r="S31" s="24"/>
      <c r="T31" s="124">
        <v>11.0</v>
      </c>
      <c r="U31" s="125">
        <v>136.12</v>
      </c>
      <c r="V31" s="125">
        <v>172.7</v>
      </c>
      <c r="W31" s="125">
        <v>184.8</v>
      </c>
      <c r="X31" s="126">
        <v>226.6</v>
      </c>
      <c r="Y31" s="2"/>
      <c r="Z31" s="2">
        <f t="shared" ref="Z31:AF31" si="22">min(C31,L31)</f>
        <v>65.21</v>
      </c>
      <c r="AA31" s="2">
        <f t="shared" si="22"/>
        <v>112.43</v>
      </c>
      <c r="AB31" s="2">
        <f t="shared" si="22"/>
        <v>128.9</v>
      </c>
      <c r="AC31" s="2">
        <f t="shared" si="22"/>
        <v>136.23</v>
      </c>
      <c r="AD31" s="2">
        <f t="shared" si="22"/>
        <v>194.8</v>
      </c>
      <c r="AE31" s="2">
        <f t="shared" si="22"/>
        <v>236.34</v>
      </c>
      <c r="AF31" s="2">
        <f t="shared" si="22"/>
        <v>136.1</v>
      </c>
      <c r="AG31" s="2"/>
      <c r="AH31" s="2"/>
      <c r="AI31" s="2"/>
    </row>
    <row r="32" ht="14.25" customHeight="1">
      <c r="A32" s="2"/>
      <c r="B32" s="114">
        <v>11.5</v>
      </c>
      <c r="C32" s="115">
        <v>74.93</v>
      </c>
      <c r="D32" s="115">
        <v>124.36</v>
      </c>
      <c r="E32" s="115">
        <v>142.67</v>
      </c>
      <c r="F32" s="115">
        <v>141.67</v>
      </c>
      <c r="G32" s="115">
        <v>214.68</v>
      </c>
      <c r="H32" s="115">
        <v>258.72</v>
      </c>
      <c r="I32" s="115">
        <v>147.27</v>
      </c>
      <c r="J32" s="116"/>
      <c r="K32" s="114">
        <v>11.5</v>
      </c>
      <c r="L32" s="115">
        <v>67.7</v>
      </c>
      <c r="M32" s="115">
        <v>115.33</v>
      </c>
      <c r="N32" s="115">
        <v>131.51</v>
      </c>
      <c r="O32" s="115">
        <v>138.69</v>
      </c>
      <c r="P32" s="115">
        <v>199.12</v>
      </c>
      <c r="Q32" s="115">
        <v>241.55</v>
      </c>
      <c r="R32" s="115">
        <v>138.58</v>
      </c>
      <c r="S32" s="24"/>
      <c r="T32" s="128">
        <v>11.5</v>
      </c>
      <c r="U32" s="130">
        <v>136.12</v>
      </c>
      <c r="V32" s="130">
        <v>172.7</v>
      </c>
      <c r="W32" s="130">
        <v>184.8</v>
      </c>
      <c r="X32" s="133">
        <v>226.6</v>
      </c>
      <c r="Y32" s="2"/>
      <c r="Z32" s="2">
        <f t="shared" ref="Z32:AF32" si="23">min(C32,L32)</f>
        <v>67.7</v>
      </c>
      <c r="AA32" s="2">
        <f t="shared" si="23"/>
        <v>115.33</v>
      </c>
      <c r="AB32" s="2">
        <f t="shared" si="23"/>
        <v>131.51</v>
      </c>
      <c r="AC32" s="2">
        <f t="shared" si="23"/>
        <v>138.69</v>
      </c>
      <c r="AD32" s="2">
        <f t="shared" si="23"/>
        <v>199.12</v>
      </c>
      <c r="AE32" s="2">
        <f t="shared" si="23"/>
        <v>241.55</v>
      </c>
      <c r="AF32" s="2">
        <f t="shared" si="23"/>
        <v>138.58</v>
      </c>
      <c r="AG32" s="2"/>
      <c r="AH32" s="2"/>
      <c r="AI32" s="2"/>
    </row>
    <row r="33" ht="14.25" customHeight="1">
      <c r="A33" s="2"/>
      <c r="B33" s="122">
        <v>12.0</v>
      </c>
      <c r="C33" s="123">
        <v>77.78</v>
      </c>
      <c r="D33" s="123">
        <v>127.48</v>
      </c>
      <c r="E33" s="123">
        <v>145.49</v>
      </c>
      <c r="F33" s="123">
        <v>144.19</v>
      </c>
      <c r="G33" s="123">
        <v>219.73</v>
      </c>
      <c r="H33" s="123">
        <v>264.46</v>
      </c>
      <c r="I33" s="123">
        <v>147.91</v>
      </c>
      <c r="J33" s="116"/>
      <c r="K33" s="122">
        <v>12.0</v>
      </c>
      <c r="L33" s="123">
        <v>70.2</v>
      </c>
      <c r="M33" s="123">
        <v>118.24</v>
      </c>
      <c r="N33" s="123">
        <v>134.11</v>
      </c>
      <c r="O33" s="123">
        <v>141.15</v>
      </c>
      <c r="P33" s="123">
        <v>203.44</v>
      </c>
      <c r="Q33" s="123">
        <v>246.77</v>
      </c>
      <c r="R33" s="123">
        <v>141.06</v>
      </c>
      <c r="S33" s="24"/>
      <c r="T33" s="124">
        <v>12.0</v>
      </c>
      <c r="U33" s="125">
        <v>136.12</v>
      </c>
      <c r="V33" s="125">
        <v>172.7</v>
      </c>
      <c r="W33" s="125">
        <v>184.8</v>
      </c>
      <c r="X33" s="126">
        <v>226.6</v>
      </c>
      <c r="Y33" s="2"/>
      <c r="Z33" s="2">
        <f t="shared" ref="Z33:AF33" si="24">min(C33,L33)</f>
        <v>70.2</v>
      </c>
      <c r="AA33" s="2">
        <f t="shared" si="24"/>
        <v>118.24</v>
      </c>
      <c r="AB33" s="2">
        <f t="shared" si="24"/>
        <v>134.11</v>
      </c>
      <c r="AC33" s="2">
        <f t="shared" si="24"/>
        <v>141.15</v>
      </c>
      <c r="AD33" s="2">
        <f t="shared" si="24"/>
        <v>203.44</v>
      </c>
      <c r="AE33" s="2">
        <f t="shared" si="24"/>
        <v>246.77</v>
      </c>
      <c r="AF33" s="2">
        <f t="shared" si="24"/>
        <v>141.06</v>
      </c>
      <c r="AG33" s="2"/>
      <c r="AH33" s="2"/>
      <c r="AI33" s="2"/>
    </row>
    <row r="34" ht="14.25" customHeight="1">
      <c r="A34" s="2"/>
      <c r="B34" s="114">
        <v>12.5</v>
      </c>
      <c r="C34" s="115">
        <v>80.63</v>
      </c>
      <c r="D34" s="115">
        <v>130.61</v>
      </c>
      <c r="E34" s="115">
        <v>148.3</v>
      </c>
      <c r="F34" s="115">
        <v>146.71</v>
      </c>
      <c r="G34" s="115">
        <v>224.78</v>
      </c>
      <c r="H34" s="115">
        <v>270.21</v>
      </c>
      <c r="I34" s="115">
        <v>148.54</v>
      </c>
      <c r="J34" s="116"/>
      <c r="K34" s="114">
        <v>12.5</v>
      </c>
      <c r="L34" s="115">
        <v>72.7</v>
      </c>
      <c r="M34" s="115">
        <v>121.14</v>
      </c>
      <c r="N34" s="115">
        <v>136.72</v>
      </c>
      <c r="O34" s="115">
        <v>143.61</v>
      </c>
      <c r="P34" s="115">
        <v>207.76</v>
      </c>
      <c r="Q34" s="115">
        <v>251.98</v>
      </c>
      <c r="R34" s="115">
        <v>143.54</v>
      </c>
      <c r="S34" s="24"/>
      <c r="T34" s="128">
        <v>12.5</v>
      </c>
      <c r="U34" s="130">
        <v>136.12</v>
      </c>
      <c r="V34" s="130">
        <v>172.7</v>
      </c>
      <c r="W34" s="130">
        <v>184.8</v>
      </c>
      <c r="X34" s="133">
        <v>226.6</v>
      </c>
      <c r="Y34" s="2"/>
      <c r="Z34" s="2">
        <f t="shared" ref="Z34:AF34" si="25">min(C34,L34)</f>
        <v>72.7</v>
      </c>
      <c r="AA34" s="2">
        <f t="shared" si="25"/>
        <v>121.14</v>
      </c>
      <c r="AB34" s="2">
        <f t="shared" si="25"/>
        <v>136.72</v>
      </c>
      <c r="AC34" s="2">
        <f t="shared" si="25"/>
        <v>143.61</v>
      </c>
      <c r="AD34" s="2">
        <f t="shared" si="25"/>
        <v>207.76</v>
      </c>
      <c r="AE34" s="2">
        <f t="shared" si="25"/>
        <v>251.98</v>
      </c>
      <c r="AF34" s="2">
        <f t="shared" si="25"/>
        <v>143.54</v>
      </c>
      <c r="AG34" s="2"/>
      <c r="AH34" s="2"/>
      <c r="AI34" s="2"/>
    </row>
    <row r="35" ht="14.25" customHeight="1">
      <c r="A35" s="2"/>
      <c r="B35" s="122">
        <v>13.0</v>
      </c>
      <c r="C35" s="123">
        <v>83.47</v>
      </c>
      <c r="D35" s="123">
        <v>133.73</v>
      </c>
      <c r="E35" s="123">
        <v>151.12</v>
      </c>
      <c r="F35" s="123">
        <v>149.23</v>
      </c>
      <c r="G35" s="123">
        <v>229.84</v>
      </c>
      <c r="H35" s="123">
        <v>275.95</v>
      </c>
      <c r="I35" s="123">
        <v>149.18</v>
      </c>
      <c r="J35" s="116"/>
      <c r="K35" s="122">
        <v>13.0</v>
      </c>
      <c r="L35" s="123">
        <v>75.2</v>
      </c>
      <c r="M35" s="123">
        <v>124.04</v>
      </c>
      <c r="N35" s="123">
        <v>139.32</v>
      </c>
      <c r="O35" s="123">
        <v>146.07</v>
      </c>
      <c r="P35" s="123">
        <v>212.08</v>
      </c>
      <c r="Q35" s="123">
        <v>257.19</v>
      </c>
      <c r="R35" s="123">
        <v>146.02</v>
      </c>
      <c r="S35" s="24"/>
      <c r="T35" s="124">
        <v>13.0</v>
      </c>
      <c r="U35" s="125">
        <v>136.12</v>
      </c>
      <c r="V35" s="125">
        <v>172.7</v>
      </c>
      <c r="W35" s="125">
        <v>184.8</v>
      </c>
      <c r="X35" s="126">
        <v>226.6</v>
      </c>
      <c r="Y35" s="2"/>
      <c r="Z35" s="2">
        <f t="shared" ref="Z35:AF35" si="26">min(C35,L35)</f>
        <v>75.2</v>
      </c>
      <c r="AA35" s="2">
        <f t="shared" si="26"/>
        <v>124.04</v>
      </c>
      <c r="AB35" s="2">
        <f t="shared" si="26"/>
        <v>139.32</v>
      </c>
      <c r="AC35" s="2">
        <f t="shared" si="26"/>
        <v>146.07</v>
      </c>
      <c r="AD35" s="2">
        <f t="shared" si="26"/>
        <v>212.08</v>
      </c>
      <c r="AE35" s="2">
        <f t="shared" si="26"/>
        <v>257.19</v>
      </c>
      <c r="AF35" s="2">
        <f t="shared" si="26"/>
        <v>146.02</v>
      </c>
      <c r="AG35" s="2"/>
      <c r="AH35" s="2"/>
      <c r="AI35" s="2"/>
    </row>
    <row r="36" ht="14.25" customHeight="1">
      <c r="A36" s="2"/>
      <c r="B36" s="114">
        <v>13.5</v>
      </c>
      <c r="C36" s="115">
        <v>86.32</v>
      </c>
      <c r="D36" s="115">
        <v>136.85</v>
      </c>
      <c r="E36" s="115">
        <v>153.93</v>
      </c>
      <c r="F36" s="115">
        <v>151.74</v>
      </c>
      <c r="G36" s="115">
        <v>234.89</v>
      </c>
      <c r="H36" s="115">
        <v>281.7</v>
      </c>
      <c r="I36" s="115">
        <v>149.82</v>
      </c>
      <c r="J36" s="116"/>
      <c r="K36" s="114">
        <v>13.5</v>
      </c>
      <c r="L36" s="115">
        <v>77.69</v>
      </c>
      <c r="M36" s="115">
        <v>126.95</v>
      </c>
      <c r="N36" s="115">
        <v>141.92</v>
      </c>
      <c r="O36" s="115">
        <v>148.53</v>
      </c>
      <c r="P36" s="115">
        <v>216.4</v>
      </c>
      <c r="Q36" s="115">
        <v>262.4</v>
      </c>
      <c r="R36" s="115">
        <v>148.5</v>
      </c>
      <c r="S36" s="24"/>
      <c r="T36" s="128">
        <v>13.5</v>
      </c>
      <c r="U36" s="130">
        <v>136.12</v>
      </c>
      <c r="V36" s="130">
        <v>172.7</v>
      </c>
      <c r="W36" s="130">
        <v>184.8</v>
      </c>
      <c r="X36" s="133">
        <v>226.6</v>
      </c>
      <c r="Y36" s="2"/>
      <c r="Z36" s="2">
        <f t="shared" ref="Z36:AF36" si="27">min(C36,L36)</f>
        <v>77.69</v>
      </c>
      <c r="AA36" s="2">
        <f t="shared" si="27"/>
        <v>126.95</v>
      </c>
      <c r="AB36" s="2">
        <f t="shared" si="27"/>
        <v>141.92</v>
      </c>
      <c r="AC36" s="2">
        <f t="shared" si="27"/>
        <v>148.53</v>
      </c>
      <c r="AD36" s="2">
        <f t="shared" si="27"/>
        <v>216.4</v>
      </c>
      <c r="AE36" s="2">
        <f t="shared" si="27"/>
        <v>262.4</v>
      </c>
      <c r="AF36" s="2">
        <f t="shared" si="27"/>
        <v>148.5</v>
      </c>
      <c r="AG36" s="2"/>
      <c r="AH36" s="2"/>
      <c r="AI36" s="2"/>
    </row>
    <row r="37" ht="14.25" customHeight="1">
      <c r="A37" s="2"/>
      <c r="B37" s="122">
        <v>14.0</v>
      </c>
      <c r="C37" s="123">
        <v>87.09</v>
      </c>
      <c r="D37" s="123">
        <v>139.97</v>
      </c>
      <c r="E37" s="123">
        <v>156.74</v>
      </c>
      <c r="F37" s="123">
        <v>154.26</v>
      </c>
      <c r="G37" s="123">
        <v>239.95</v>
      </c>
      <c r="H37" s="123">
        <v>287.44</v>
      </c>
      <c r="I37" s="123">
        <v>150.46</v>
      </c>
      <c r="J37" s="116"/>
      <c r="K37" s="122">
        <v>14.0</v>
      </c>
      <c r="L37" s="123">
        <v>79.23</v>
      </c>
      <c r="M37" s="123">
        <v>129.85</v>
      </c>
      <c r="N37" s="123">
        <v>144.53</v>
      </c>
      <c r="O37" s="123">
        <v>150.99</v>
      </c>
      <c r="P37" s="123">
        <v>220.72</v>
      </c>
      <c r="Q37" s="123">
        <v>267.62</v>
      </c>
      <c r="R37" s="123">
        <v>150.98</v>
      </c>
      <c r="S37" s="24"/>
      <c r="T37" s="124">
        <v>14.0</v>
      </c>
      <c r="U37" s="125">
        <v>136.12</v>
      </c>
      <c r="V37" s="125">
        <v>172.7</v>
      </c>
      <c r="W37" s="125">
        <v>184.8</v>
      </c>
      <c r="X37" s="126">
        <v>226.6</v>
      </c>
      <c r="Y37" s="2"/>
      <c r="Z37" s="2">
        <f t="shared" ref="Z37:AF37" si="28">min(C37,L37)</f>
        <v>79.23</v>
      </c>
      <c r="AA37" s="2">
        <f t="shared" si="28"/>
        <v>129.85</v>
      </c>
      <c r="AB37" s="2">
        <f t="shared" si="28"/>
        <v>144.53</v>
      </c>
      <c r="AC37" s="2">
        <f t="shared" si="28"/>
        <v>150.99</v>
      </c>
      <c r="AD37" s="2">
        <f t="shared" si="28"/>
        <v>220.72</v>
      </c>
      <c r="AE37" s="2">
        <f t="shared" si="28"/>
        <v>267.62</v>
      </c>
      <c r="AF37" s="2">
        <f t="shared" si="28"/>
        <v>150.46</v>
      </c>
      <c r="AG37" s="2"/>
      <c r="AH37" s="2"/>
      <c r="AI37" s="2"/>
    </row>
    <row r="38" ht="14.25" customHeight="1">
      <c r="A38" s="2"/>
      <c r="B38" s="114">
        <v>14.5</v>
      </c>
      <c r="C38" s="115">
        <v>87.09</v>
      </c>
      <c r="D38" s="115">
        <v>143.09</v>
      </c>
      <c r="E38" s="115">
        <v>158.76</v>
      </c>
      <c r="F38" s="115">
        <v>156.78</v>
      </c>
      <c r="G38" s="115">
        <v>245.0</v>
      </c>
      <c r="H38" s="115">
        <v>293.19</v>
      </c>
      <c r="I38" s="115">
        <v>151.1</v>
      </c>
      <c r="J38" s="116"/>
      <c r="K38" s="114">
        <v>14.5</v>
      </c>
      <c r="L38" s="115">
        <v>79.23</v>
      </c>
      <c r="M38" s="115">
        <v>132.76</v>
      </c>
      <c r="N38" s="115">
        <v>146.16</v>
      </c>
      <c r="O38" s="115">
        <v>153.45</v>
      </c>
      <c r="P38" s="115">
        <v>225.04</v>
      </c>
      <c r="Q38" s="115">
        <v>272.83</v>
      </c>
      <c r="R38" s="115">
        <v>153.46</v>
      </c>
      <c r="S38" s="24"/>
      <c r="T38" s="128">
        <v>14.5</v>
      </c>
      <c r="U38" s="130">
        <v>136.12</v>
      </c>
      <c r="V38" s="130">
        <v>172.7</v>
      </c>
      <c r="W38" s="130">
        <v>184.8</v>
      </c>
      <c r="X38" s="133">
        <v>226.6</v>
      </c>
      <c r="Y38" s="2"/>
      <c r="Z38" s="2">
        <f t="shared" ref="Z38:AF38" si="29">min(C38,L38)</f>
        <v>79.23</v>
      </c>
      <c r="AA38" s="2">
        <f t="shared" si="29"/>
        <v>132.76</v>
      </c>
      <c r="AB38" s="2">
        <f t="shared" si="29"/>
        <v>146.16</v>
      </c>
      <c r="AC38" s="2">
        <f t="shared" si="29"/>
        <v>153.45</v>
      </c>
      <c r="AD38" s="2">
        <f t="shared" si="29"/>
        <v>225.04</v>
      </c>
      <c r="AE38" s="2">
        <f t="shared" si="29"/>
        <v>272.83</v>
      </c>
      <c r="AF38" s="2">
        <f t="shared" si="29"/>
        <v>151.1</v>
      </c>
      <c r="AG38" s="2"/>
      <c r="AH38" s="2"/>
      <c r="AI38" s="2"/>
    </row>
    <row r="39" ht="14.25" customHeight="1">
      <c r="A39" s="2"/>
      <c r="B39" s="122">
        <v>15.0</v>
      </c>
      <c r="C39" s="123">
        <v>87.09</v>
      </c>
      <c r="D39" s="123">
        <v>145.24</v>
      </c>
      <c r="E39" s="123">
        <v>158.76</v>
      </c>
      <c r="F39" s="123">
        <v>159.3</v>
      </c>
      <c r="G39" s="123">
        <v>250.05</v>
      </c>
      <c r="H39" s="123">
        <v>298.93</v>
      </c>
      <c r="I39" s="123">
        <v>151.73</v>
      </c>
      <c r="J39" s="116"/>
      <c r="K39" s="122">
        <v>15.0</v>
      </c>
      <c r="L39" s="123">
        <v>79.23</v>
      </c>
      <c r="M39" s="123">
        <v>135.07</v>
      </c>
      <c r="N39" s="123">
        <v>146.16</v>
      </c>
      <c r="O39" s="123">
        <v>155.91</v>
      </c>
      <c r="P39" s="123">
        <v>229.36</v>
      </c>
      <c r="Q39" s="123">
        <v>278.04</v>
      </c>
      <c r="R39" s="123">
        <v>155.94</v>
      </c>
      <c r="S39" s="24"/>
      <c r="T39" s="124">
        <v>15.0</v>
      </c>
      <c r="U39" s="125">
        <v>136.12</v>
      </c>
      <c r="V39" s="125">
        <v>172.7</v>
      </c>
      <c r="W39" s="125">
        <v>184.8</v>
      </c>
      <c r="X39" s="126">
        <v>226.6</v>
      </c>
      <c r="Y39" s="2"/>
      <c r="Z39" s="2">
        <f t="shared" ref="Z39:AF39" si="30">min(C39,L39)</f>
        <v>79.23</v>
      </c>
      <c r="AA39" s="2">
        <f t="shared" si="30"/>
        <v>135.07</v>
      </c>
      <c r="AB39" s="2">
        <f t="shared" si="30"/>
        <v>146.16</v>
      </c>
      <c r="AC39" s="2">
        <f t="shared" si="30"/>
        <v>155.91</v>
      </c>
      <c r="AD39" s="2">
        <f t="shared" si="30"/>
        <v>229.36</v>
      </c>
      <c r="AE39" s="2">
        <f t="shared" si="30"/>
        <v>278.04</v>
      </c>
      <c r="AF39" s="2">
        <f t="shared" si="30"/>
        <v>151.73</v>
      </c>
      <c r="AG39" s="2"/>
      <c r="AH39" s="2"/>
      <c r="AI39" s="2"/>
    </row>
    <row r="40" ht="14.25" customHeight="1">
      <c r="A40" s="2"/>
      <c r="B40" s="114">
        <v>15.5</v>
      </c>
      <c r="C40" s="115">
        <v>87.09</v>
      </c>
      <c r="D40" s="115">
        <v>145.24</v>
      </c>
      <c r="E40" s="115">
        <v>158.76</v>
      </c>
      <c r="F40" s="115">
        <v>161.82</v>
      </c>
      <c r="G40" s="115">
        <v>255.11</v>
      </c>
      <c r="H40" s="115">
        <v>304.68</v>
      </c>
      <c r="I40" s="115">
        <v>152.98</v>
      </c>
      <c r="J40" s="116"/>
      <c r="K40" s="114">
        <v>15.5</v>
      </c>
      <c r="L40" s="115">
        <v>79.23</v>
      </c>
      <c r="M40" s="115">
        <v>135.07</v>
      </c>
      <c r="N40" s="115">
        <v>146.16</v>
      </c>
      <c r="O40" s="115">
        <v>158.37</v>
      </c>
      <c r="P40" s="115">
        <v>233.68</v>
      </c>
      <c r="Q40" s="115">
        <v>283.26</v>
      </c>
      <c r="R40" s="115">
        <v>158.42</v>
      </c>
      <c r="S40" s="24"/>
      <c r="T40" s="128">
        <v>15.5</v>
      </c>
      <c r="U40" s="130">
        <v>136.12</v>
      </c>
      <c r="V40" s="130">
        <v>205.15</v>
      </c>
      <c r="W40" s="130">
        <v>193.6</v>
      </c>
      <c r="X40" s="133">
        <v>241.72</v>
      </c>
      <c r="Y40" s="2"/>
      <c r="Z40" s="2">
        <f t="shared" ref="Z40:AF40" si="31">min(C40,L40)</f>
        <v>79.23</v>
      </c>
      <c r="AA40" s="2">
        <f t="shared" si="31"/>
        <v>135.07</v>
      </c>
      <c r="AB40" s="2">
        <f t="shared" si="31"/>
        <v>146.16</v>
      </c>
      <c r="AC40" s="2">
        <f t="shared" si="31"/>
        <v>158.37</v>
      </c>
      <c r="AD40" s="2">
        <f t="shared" si="31"/>
        <v>233.68</v>
      </c>
      <c r="AE40" s="2">
        <f t="shared" si="31"/>
        <v>283.26</v>
      </c>
      <c r="AF40" s="2">
        <f t="shared" si="31"/>
        <v>152.98</v>
      </c>
      <c r="AG40" s="2"/>
      <c r="AH40" s="2"/>
      <c r="AI40" s="2"/>
    </row>
    <row r="41" ht="14.25" customHeight="1">
      <c r="A41" s="2"/>
      <c r="B41" s="122">
        <v>16.0</v>
      </c>
      <c r="C41" s="123">
        <v>87.09</v>
      </c>
      <c r="D41" s="123">
        <v>145.24</v>
      </c>
      <c r="E41" s="123">
        <v>158.76</v>
      </c>
      <c r="F41" s="123">
        <v>164.34</v>
      </c>
      <c r="G41" s="123">
        <v>260.16</v>
      </c>
      <c r="H41" s="123">
        <v>310.42</v>
      </c>
      <c r="I41" s="123">
        <v>154.22</v>
      </c>
      <c r="J41" s="116"/>
      <c r="K41" s="122">
        <v>16.0</v>
      </c>
      <c r="L41" s="123">
        <v>79.23</v>
      </c>
      <c r="M41" s="123">
        <v>135.07</v>
      </c>
      <c r="N41" s="123">
        <v>146.16</v>
      </c>
      <c r="O41" s="123">
        <v>160.83</v>
      </c>
      <c r="P41" s="123">
        <v>238.0</v>
      </c>
      <c r="Q41" s="123">
        <v>288.47</v>
      </c>
      <c r="R41" s="123">
        <v>160.9</v>
      </c>
      <c r="S41" s="24"/>
      <c r="T41" s="124">
        <v>16.0</v>
      </c>
      <c r="U41" s="125">
        <v>136.12</v>
      </c>
      <c r="V41" s="125">
        <v>205.15</v>
      </c>
      <c r="W41" s="125">
        <v>193.6</v>
      </c>
      <c r="X41" s="126">
        <v>241.72</v>
      </c>
      <c r="Y41" s="2"/>
      <c r="Z41" s="2">
        <f t="shared" ref="Z41:AF41" si="32">min(C41,L41)</f>
        <v>79.23</v>
      </c>
      <c r="AA41" s="2">
        <f t="shared" si="32"/>
        <v>135.07</v>
      </c>
      <c r="AB41" s="2">
        <f t="shared" si="32"/>
        <v>146.16</v>
      </c>
      <c r="AC41" s="2">
        <f t="shared" si="32"/>
        <v>160.83</v>
      </c>
      <c r="AD41" s="2">
        <f t="shared" si="32"/>
        <v>238</v>
      </c>
      <c r="AE41" s="2">
        <f t="shared" si="32"/>
        <v>288.47</v>
      </c>
      <c r="AF41" s="2">
        <f t="shared" si="32"/>
        <v>154.22</v>
      </c>
      <c r="AG41" s="2"/>
      <c r="AH41" s="2"/>
      <c r="AI41" s="2"/>
    </row>
    <row r="42" ht="14.25" customHeight="1">
      <c r="A42" s="2"/>
      <c r="B42" s="114">
        <v>16.5</v>
      </c>
      <c r="C42" s="115">
        <v>87.09</v>
      </c>
      <c r="D42" s="115">
        <v>145.24</v>
      </c>
      <c r="E42" s="115">
        <v>158.76</v>
      </c>
      <c r="F42" s="115">
        <v>166.86</v>
      </c>
      <c r="G42" s="115">
        <v>265.22</v>
      </c>
      <c r="H42" s="115">
        <v>316.17</v>
      </c>
      <c r="I42" s="115">
        <v>155.46</v>
      </c>
      <c r="J42" s="116"/>
      <c r="K42" s="114">
        <v>16.5</v>
      </c>
      <c r="L42" s="115">
        <v>79.23</v>
      </c>
      <c r="M42" s="115">
        <v>135.07</v>
      </c>
      <c r="N42" s="115">
        <v>146.16</v>
      </c>
      <c r="O42" s="115">
        <v>163.29</v>
      </c>
      <c r="P42" s="115">
        <v>242.32</v>
      </c>
      <c r="Q42" s="115">
        <v>293.68</v>
      </c>
      <c r="R42" s="115">
        <v>163.38</v>
      </c>
      <c r="S42" s="24"/>
      <c r="T42" s="128">
        <v>16.5</v>
      </c>
      <c r="U42" s="130">
        <v>136.12</v>
      </c>
      <c r="V42" s="130">
        <v>205.15</v>
      </c>
      <c r="W42" s="130">
        <v>193.6</v>
      </c>
      <c r="X42" s="133">
        <v>241.72</v>
      </c>
      <c r="Y42" s="2"/>
      <c r="Z42" s="2">
        <f t="shared" ref="Z42:AF42" si="33">min(C42,L42)</f>
        <v>79.23</v>
      </c>
      <c r="AA42" s="2">
        <f t="shared" si="33"/>
        <v>135.07</v>
      </c>
      <c r="AB42" s="2">
        <f t="shared" si="33"/>
        <v>146.16</v>
      </c>
      <c r="AC42" s="2">
        <f t="shared" si="33"/>
        <v>163.29</v>
      </c>
      <c r="AD42" s="2">
        <f t="shared" si="33"/>
        <v>242.32</v>
      </c>
      <c r="AE42" s="2">
        <f t="shared" si="33"/>
        <v>293.68</v>
      </c>
      <c r="AF42" s="2">
        <f t="shared" si="33"/>
        <v>155.46</v>
      </c>
      <c r="AG42" s="2"/>
      <c r="AH42" s="2"/>
      <c r="AI42" s="2"/>
    </row>
    <row r="43" ht="14.25" customHeight="1">
      <c r="A43" s="2"/>
      <c r="B43" s="122">
        <v>17.0</v>
      </c>
      <c r="C43" s="123">
        <v>87.09</v>
      </c>
      <c r="D43" s="123">
        <v>145.24</v>
      </c>
      <c r="E43" s="123">
        <v>158.76</v>
      </c>
      <c r="F43" s="123">
        <v>169.38</v>
      </c>
      <c r="G43" s="123">
        <v>270.27</v>
      </c>
      <c r="H43" s="123">
        <v>319.09</v>
      </c>
      <c r="I43" s="123">
        <v>156.71</v>
      </c>
      <c r="J43" s="116"/>
      <c r="K43" s="122">
        <v>17.0</v>
      </c>
      <c r="L43" s="123">
        <v>79.23</v>
      </c>
      <c r="M43" s="123">
        <v>135.07</v>
      </c>
      <c r="N43" s="123">
        <v>146.16</v>
      </c>
      <c r="O43" s="123">
        <v>165.75</v>
      </c>
      <c r="P43" s="123">
        <v>246.64</v>
      </c>
      <c r="Q43" s="123">
        <v>298.9</v>
      </c>
      <c r="R43" s="123">
        <v>165.86</v>
      </c>
      <c r="S43" s="24"/>
      <c r="T43" s="124">
        <v>17.0</v>
      </c>
      <c r="U43" s="125">
        <v>136.12</v>
      </c>
      <c r="V43" s="125">
        <v>205.15</v>
      </c>
      <c r="W43" s="125">
        <v>193.6</v>
      </c>
      <c r="X43" s="126">
        <v>241.72</v>
      </c>
      <c r="Y43" s="2"/>
      <c r="Z43" s="2">
        <f t="shared" ref="Z43:AF43" si="34">min(C43,L43)</f>
        <v>79.23</v>
      </c>
      <c r="AA43" s="2">
        <f t="shared" si="34"/>
        <v>135.07</v>
      </c>
      <c r="AB43" s="2">
        <f t="shared" si="34"/>
        <v>146.16</v>
      </c>
      <c r="AC43" s="2">
        <f t="shared" si="34"/>
        <v>165.75</v>
      </c>
      <c r="AD43" s="2">
        <f t="shared" si="34"/>
        <v>246.64</v>
      </c>
      <c r="AE43" s="2">
        <f t="shared" si="34"/>
        <v>298.9</v>
      </c>
      <c r="AF43" s="2">
        <f t="shared" si="34"/>
        <v>156.71</v>
      </c>
      <c r="AG43" s="2"/>
      <c r="AH43" s="2"/>
      <c r="AI43" s="2"/>
    </row>
    <row r="44" ht="14.25" customHeight="1">
      <c r="A44" s="2"/>
      <c r="B44" s="114">
        <v>17.5</v>
      </c>
      <c r="C44" s="115">
        <v>87.09</v>
      </c>
      <c r="D44" s="115">
        <v>145.24</v>
      </c>
      <c r="E44" s="115">
        <v>158.76</v>
      </c>
      <c r="F44" s="115">
        <v>171.9</v>
      </c>
      <c r="G44" s="115">
        <v>275.32</v>
      </c>
      <c r="H44" s="115">
        <v>319.09</v>
      </c>
      <c r="I44" s="115">
        <v>157.95</v>
      </c>
      <c r="J44" s="116"/>
      <c r="K44" s="114">
        <v>17.5</v>
      </c>
      <c r="L44" s="115">
        <v>79.23</v>
      </c>
      <c r="M44" s="115">
        <v>135.07</v>
      </c>
      <c r="N44" s="115">
        <v>146.16</v>
      </c>
      <c r="O44" s="115">
        <v>166.74</v>
      </c>
      <c r="P44" s="115">
        <v>250.96</v>
      </c>
      <c r="Q44" s="115">
        <v>298.93</v>
      </c>
      <c r="R44" s="115">
        <v>167.37</v>
      </c>
      <c r="S44" s="24"/>
      <c r="T44" s="128">
        <v>17.5</v>
      </c>
      <c r="U44" s="130">
        <v>136.12</v>
      </c>
      <c r="V44" s="130">
        <v>205.15</v>
      </c>
      <c r="W44" s="130">
        <v>193.6</v>
      </c>
      <c r="X44" s="133">
        <v>241.72</v>
      </c>
      <c r="Y44" s="2"/>
      <c r="Z44" s="2">
        <f t="shared" ref="Z44:AF44" si="35">min(C44,L44)</f>
        <v>79.23</v>
      </c>
      <c r="AA44" s="2">
        <f t="shared" si="35"/>
        <v>135.07</v>
      </c>
      <c r="AB44" s="2">
        <f t="shared" si="35"/>
        <v>146.16</v>
      </c>
      <c r="AC44" s="2">
        <f t="shared" si="35"/>
        <v>166.74</v>
      </c>
      <c r="AD44" s="2">
        <f t="shared" si="35"/>
        <v>250.96</v>
      </c>
      <c r="AE44" s="2">
        <f t="shared" si="35"/>
        <v>298.93</v>
      </c>
      <c r="AF44" s="2">
        <f t="shared" si="35"/>
        <v>157.95</v>
      </c>
      <c r="AG44" s="2"/>
      <c r="AH44" s="2"/>
      <c r="AI44" s="2"/>
    </row>
    <row r="45" ht="14.25" customHeight="1">
      <c r="A45" s="2"/>
      <c r="B45" s="122">
        <v>18.0</v>
      </c>
      <c r="C45" s="123">
        <v>87.09</v>
      </c>
      <c r="D45" s="123">
        <v>145.24</v>
      </c>
      <c r="E45" s="123">
        <v>158.76</v>
      </c>
      <c r="F45" s="123">
        <v>172.09</v>
      </c>
      <c r="G45" s="123">
        <v>280.38</v>
      </c>
      <c r="H45" s="123">
        <v>319.09</v>
      </c>
      <c r="I45" s="123">
        <v>159.19</v>
      </c>
      <c r="J45" s="116"/>
      <c r="K45" s="122">
        <v>18.0</v>
      </c>
      <c r="L45" s="123">
        <v>79.23</v>
      </c>
      <c r="M45" s="123">
        <v>135.07</v>
      </c>
      <c r="N45" s="123">
        <v>146.16</v>
      </c>
      <c r="O45" s="123">
        <v>166.74</v>
      </c>
      <c r="P45" s="123">
        <v>255.28</v>
      </c>
      <c r="Q45" s="123">
        <v>298.93</v>
      </c>
      <c r="R45" s="123">
        <v>167.37</v>
      </c>
      <c r="S45" s="24"/>
      <c r="T45" s="124">
        <v>18.0</v>
      </c>
      <c r="U45" s="125">
        <v>136.12</v>
      </c>
      <c r="V45" s="125">
        <v>205.15</v>
      </c>
      <c r="W45" s="125">
        <v>193.6</v>
      </c>
      <c r="X45" s="126">
        <v>241.72</v>
      </c>
      <c r="Y45" s="2"/>
      <c r="Z45" s="2">
        <f t="shared" ref="Z45:AF45" si="36">min(C45,L45)</f>
        <v>79.23</v>
      </c>
      <c r="AA45" s="2">
        <f t="shared" si="36"/>
        <v>135.07</v>
      </c>
      <c r="AB45" s="2">
        <f t="shared" si="36"/>
        <v>146.16</v>
      </c>
      <c r="AC45" s="2">
        <f t="shared" si="36"/>
        <v>166.74</v>
      </c>
      <c r="AD45" s="2">
        <f t="shared" si="36"/>
        <v>255.28</v>
      </c>
      <c r="AE45" s="2">
        <f t="shared" si="36"/>
        <v>298.93</v>
      </c>
      <c r="AF45" s="2">
        <f t="shared" si="36"/>
        <v>159.19</v>
      </c>
      <c r="AG45" s="2"/>
      <c r="AH45" s="2"/>
      <c r="AI45" s="2"/>
    </row>
    <row r="46" ht="14.25" customHeight="1">
      <c r="A46" s="2"/>
      <c r="B46" s="114">
        <v>18.5</v>
      </c>
      <c r="C46" s="115">
        <v>87.09</v>
      </c>
      <c r="D46" s="115">
        <v>145.24</v>
      </c>
      <c r="E46" s="115">
        <v>158.76</v>
      </c>
      <c r="F46" s="115">
        <v>172.09</v>
      </c>
      <c r="G46" s="115">
        <v>285.43</v>
      </c>
      <c r="H46" s="115">
        <v>319.09</v>
      </c>
      <c r="I46" s="115">
        <v>160.43</v>
      </c>
      <c r="J46" s="116"/>
      <c r="K46" s="114">
        <v>18.5</v>
      </c>
      <c r="L46" s="115">
        <v>79.23</v>
      </c>
      <c r="M46" s="115">
        <v>135.07</v>
      </c>
      <c r="N46" s="115">
        <v>146.16</v>
      </c>
      <c r="O46" s="115">
        <v>166.74</v>
      </c>
      <c r="P46" s="115">
        <v>259.6</v>
      </c>
      <c r="Q46" s="115">
        <v>298.93</v>
      </c>
      <c r="R46" s="115">
        <v>167.37</v>
      </c>
      <c r="S46" s="24"/>
      <c r="T46" s="128">
        <v>18.5</v>
      </c>
      <c r="U46" s="130">
        <v>136.12</v>
      </c>
      <c r="V46" s="130">
        <v>205.15</v>
      </c>
      <c r="W46" s="130">
        <v>193.6</v>
      </c>
      <c r="X46" s="133">
        <v>241.72</v>
      </c>
      <c r="Y46" s="2"/>
      <c r="Z46" s="2">
        <f t="shared" ref="Z46:AF46" si="37">min(C46,L46)</f>
        <v>79.23</v>
      </c>
      <c r="AA46" s="2">
        <f t="shared" si="37"/>
        <v>135.07</v>
      </c>
      <c r="AB46" s="2">
        <f t="shared" si="37"/>
        <v>146.16</v>
      </c>
      <c r="AC46" s="2">
        <f t="shared" si="37"/>
        <v>166.74</v>
      </c>
      <c r="AD46" s="2">
        <f t="shared" si="37"/>
        <v>259.6</v>
      </c>
      <c r="AE46" s="2">
        <f t="shared" si="37"/>
        <v>298.93</v>
      </c>
      <c r="AF46" s="2">
        <f t="shared" si="37"/>
        <v>160.43</v>
      </c>
      <c r="AG46" s="2"/>
      <c r="AH46" s="2"/>
      <c r="AI46" s="2"/>
    </row>
    <row r="47" ht="14.25" customHeight="1">
      <c r="A47" s="2"/>
      <c r="B47" s="122">
        <v>19.0</v>
      </c>
      <c r="C47" s="123">
        <v>87.09</v>
      </c>
      <c r="D47" s="123">
        <v>145.24</v>
      </c>
      <c r="E47" s="123">
        <v>158.76</v>
      </c>
      <c r="F47" s="123">
        <v>172.09</v>
      </c>
      <c r="G47" s="123">
        <v>290.49</v>
      </c>
      <c r="H47" s="123">
        <v>319.09</v>
      </c>
      <c r="I47" s="123">
        <v>161.68</v>
      </c>
      <c r="J47" s="116"/>
      <c r="K47" s="122">
        <v>19.0</v>
      </c>
      <c r="L47" s="123">
        <v>79.23</v>
      </c>
      <c r="M47" s="123">
        <v>135.07</v>
      </c>
      <c r="N47" s="123">
        <v>146.16</v>
      </c>
      <c r="O47" s="123">
        <v>166.74</v>
      </c>
      <c r="P47" s="123">
        <v>263.92</v>
      </c>
      <c r="Q47" s="123">
        <v>298.93</v>
      </c>
      <c r="R47" s="123">
        <v>167.37</v>
      </c>
      <c r="S47" s="24"/>
      <c r="T47" s="124">
        <v>19.0</v>
      </c>
      <c r="U47" s="125">
        <v>136.12</v>
      </c>
      <c r="V47" s="125">
        <v>205.15</v>
      </c>
      <c r="W47" s="125">
        <v>193.6</v>
      </c>
      <c r="X47" s="126">
        <v>241.72</v>
      </c>
      <c r="Y47" s="2"/>
      <c r="Z47" s="2">
        <f t="shared" ref="Z47:AF47" si="38">min(C47,L47)</f>
        <v>79.23</v>
      </c>
      <c r="AA47" s="2">
        <f t="shared" si="38"/>
        <v>135.07</v>
      </c>
      <c r="AB47" s="2">
        <f t="shared" si="38"/>
        <v>146.16</v>
      </c>
      <c r="AC47" s="2">
        <f t="shared" si="38"/>
        <v>166.74</v>
      </c>
      <c r="AD47" s="2">
        <f t="shared" si="38"/>
        <v>263.92</v>
      </c>
      <c r="AE47" s="2">
        <f t="shared" si="38"/>
        <v>298.93</v>
      </c>
      <c r="AF47" s="2">
        <f t="shared" si="38"/>
        <v>161.68</v>
      </c>
      <c r="AG47" s="2"/>
      <c r="AH47" s="2"/>
      <c r="AI47" s="2"/>
    </row>
    <row r="48" ht="14.25" customHeight="1">
      <c r="A48" s="2"/>
      <c r="B48" s="72">
        <v>19.5</v>
      </c>
      <c r="C48" s="115">
        <v>87.09</v>
      </c>
      <c r="D48" s="115">
        <v>145.24</v>
      </c>
      <c r="E48" s="115">
        <v>158.76</v>
      </c>
      <c r="F48" s="115">
        <v>172.09</v>
      </c>
      <c r="G48" s="115">
        <v>295.54</v>
      </c>
      <c r="H48" s="115">
        <v>319.09</v>
      </c>
      <c r="I48" s="115">
        <v>162.92</v>
      </c>
      <c r="J48" s="116"/>
      <c r="K48" s="72">
        <v>19.5</v>
      </c>
      <c r="L48" s="115">
        <v>79.23</v>
      </c>
      <c r="M48" s="115">
        <v>135.07</v>
      </c>
      <c r="N48" s="115">
        <v>146.16</v>
      </c>
      <c r="O48" s="115">
        <v>166.74</v>
      </c>
      <c r="P48" s="115">
        <v>268.24</v>
      </c>
      <c r="Q48" s="115">
        <v>298.93</v>
      </c>
      <c r="R48" s="115">
        <v>167.37</v>
      </c>
      <c r="S48" s="24"/>
      <c r="T48" s="139">
        <v>19.5</v>
      </c>
      <c r="U48" s="130">
        <v>136.12</v>
      </c>
      <c r="V48" s="130">
        <v>205.15</v>
      </c>
      <c r="W48" s="130">
        <v>193.6</v>
      </c>
      <c r="X48" s="133">
        <v>241.72</v>
      </c>
      <c r="Y48" s="2"/>
      <c r="Z48" s="2">
        <f t="shared" ref="Z48:AF48" si="39">min(C48,L48)</f>
        <v>79.23</v>
      </c>
      <c r="AA48" s="2">
        <f t="shared" si="39"/>
        <v>135.07</v>
      </c>
      <c r="AB48" s="2">
        <f t="shared" si="39"/>
        <v>146.16</v>
      </c>
      <c r="AC48" s="2">
        <f t="shared" si="39"/>
        <v>166.74</v>
      </c>
      <c r="AD48" s="2">
        <f t="shared" si="39"/>
        <v>268.24</v>
      </c>
      <c r="AE48" s="2">
        <f t="shared" si="39"/>
        <v>298.93</v>
      </c>
      <c r="AF48" s="2">
        <f t="shared" si="39"/>
        <v>162.92</v>
      </c>
      <c r="AG48" s="2"/>
      <c r="AH48" s="2"/>
      <c r="AI48" s="2"/>
    </row>
    <row r="49" ht="14.25" customHeight="1">
      <c r="A49" s="2"/>
      <c r="B49" s="122">
        <v>20.0</v>
      </c>
      <c r="C49" s="123">
        <v>87.09</v>
      </c>
      <c r="D49" s="123">
        <v>145.24</v>
      </c>
      <c r="E49" s="123">
        <v>158.76</v>
      </c>
      <c r="F49" s="123">
        <v>172.09</v>
      </c>
      <c r="G49" s="123">
        <v>300.59</v>
      </c>
      <c r="H49" s="123">
        <v>319.09</v>
      </c>
      <c r="I49" s="123">
        <v>164.16</v>
      </c>
      <c r="J49" s="116"/>
      <c r="K49" s="122">
        <v>20.0</v>
      </c>
      <c r="L49" s="123">
        <v>79.23</v>
      </c>
      <c r="M49" s="123">
        <v>135.07</v>
      </c>
      <c r="N49" s="123">
        <v>146.16</v>
      </c>
      <c r="O49" s="123">
        <v>166.74</v>
      </c>
      <c r="P49" s="123">
        <v>272.56</v>
      </c>
      <c r="Q49" s="123">
        <v>298.93</v>
      </c>
      <c r="R49" s="123">
        <v>167.37</v>
      </c>
      <c r="S49" s="24"/>
      <c r="T49" s="124">
        <v>20.0</v>
      </c>
      <c r="U49" s="125">
        <v>136.12</v>
      </c>
      <c r="V49" s="125">
        <v>205.15</v>
      </c>
      <c r="W49" s="125">
        <v>193.6</v>
      </c>
      <c r="X49" s="126">
        <v>241.72</v>
      </c>
      <c r="Y49" s="2"/>
      <c r="Z49" s="2">
        <f t="shared" ref="Z49:AF49" si="40">min(C49,L49)</f>
        <v>79.23</v>
      </c>
      <c r="AA49" s="2">
        <f t="shared" si="40"/>
        <v>135.07</v>
      </c>
      <c r="AB49" s="2">
        <f t="shared" si="40"/>
        <v>146.16</v>
      </c>
      <c r="AC49" s="2">
        <f t="shared" si="40"/>
        <v>166.74</v>
      </c>
      <c r="AD49" s="2">
        <f t="shared" si="40"/>
        <v>272.56</v>
      </c>
      <c r="AE49" s="2">
        <f t="shared" si="40"/>
        <v>298.93</v>
      </c>
      <c r="AF49" s="2">
        <f t="shared" si="40"/>
        <v>164.16</v>
      </c>
      <c r="AG49" s="2"/>
      <c r="AH49" s="2"/>
      <c r="AI49" s="2"/>
    </row>
    <row r="50" ht="14.25" customHeight="1">
      <c r="A50" s="2"/>
      <c r="B50" s="114">
        <v>20.5</v>
      </c>
      <c r="C50" s="115">
        <v>93.79</v>
      </c>
      <c r="D50" s="115">
        <v>155.61</v>
      </c>
      <c r="E50" s="115">
        <v>170.1</v>
      </c>
      <c r="F50" s="115">
        <v>187.74</v>
      </c>
      <c r="G50" s="115">
        <v>343.73</v>
      </c>
      <c r="H50" s="115">
        <v>361.64</v>
      </c>
      <c r="I50" s="115">
        <v>180.44</v>
      </c>
      <c r="J50" s="116"/>
      <c r="K50" s="114">
        <v>20.5</v>
      </c>
      <c r="L50" s="115">
        <v>86.44</v>
      </c>
      <c r="M50" s="115">
        <v>146.33</v>
      </c>
      <c r="N50" s="115">
        <v>158.34</v>
      </c>
      <c r="O50" s="115">
        <v>183.41</v>
      </c>
      <c r="P50" s="115">
        <v>323.02</v>
      </c>
      <c r="Q50" s="115">
        <v>344.92</v>
      </c>
      <c r="R50" s="115">
        <v>184.11</v>
      </c>
      <c r="S50" s="24"/>
      <c r="T50" s="128">
        <v>20.5</v>
      </c>
      <c r="U50" s="130">
        <v>136.12</v>
      </c>
      <c r="V50" s="130">
        <v>205.15</v>
      </c>
      <c r="W50" s="130">
        <v>193.6</v>
      </c>
      <c r="X50" s="133">
        <v>241.72</v>
      </c>
      <c r="Y50" s="2"/>
      <c r="Z50" s="2">
        <f t="shared" ref="Z50:AF50" si="41">min(C50,L50)</f>
        <v>86.44</v>
      </c>
      <c r="AA50" s="2">
        <f t="shared" si="41"/>
        <v>146.33</v>
      </c>
      <c r="AB50" s="2">
        <f t="shared" si="41"/>
        <v>158.34</v>
      </c>
      <c r="AC50" s="2">
        <f t="shared" si="41"/>
        <v>183.41</v>
      </c>
      <c r="AD50" s="2">
        <f t="shared" si="41"/>
        <v>323.02</v>
      </c>
      <c r="AE50" s="2">
        <f t="shared" si="41"/>
        <v>344.92</v>
      </c>
      <c r="AF50" s="2">
        <f t="shared" si="41"/>
        <v>180.44</v>
      </c>
      <c r="AG50" s="2"/>
      <c r="AH50" s="2"/>
      <c r="AI50" s="2"/>
    </row>
    <row r="51" ht="14.25" customHeight="1">
      <c r="A51" s="2"/>
      <c r="B51" s="122">
        <v>21.0</v>
      </c>
      <c r="C51" s="123">
        <v>93.86999999999999</v>
      </c>
      <c r="D51" s="123">
        <v>155.61</v>
      </c>
      <c r="E51" s="123">
        <v>170.1</v>
      </c>
      <c r="F51" s="123">
        <v>187.73999999999998</v>
      </c>
      <c r="G51" s="123">
        <v>343.77000000000004</v>
      </c>
      <c r="H51" s="123">
        <v>361.62</v>
      </c>
      <c r="I51" s="123">
        <v>180.6</v>
      </c>
      <c r="J51" s="116"/>
      <c r="K51" s="122">
        <v>21.0</v>
      </c>
      <c r="L51" s="123">
        <f t="shared" ref="L51:R51" si="42">$K51*L$73</f>
        <v>86.52</v>
      </c>
      <c r="M51" s="123">
        <f t="shared" si="42"/>
        <v>146.37</v>
      </c>
      <c r="N51" s="123">
        <f t="shared" si="42"/>
        <v>158.34</v>
      </c>
      <c r="O51" s="123">
        <f t="shared" si="42"/>
        <v>183.33</v>
      </c>
      <c r="P51" s="123">
        <f t="shared" si="42"/>
        <v>323.61</v>
      </c>
      <c r="Q51" s="123">
        <f t="shared" si="42"/>
        <v>345.03</v>
      </c>
      <c r="R51" s="123">
        <f t="shared" si="42"/>
        <v>184.17</v>
      </c>
      <c r="S51" s="24"/>
      <c r="T51" s="124">
        <v>21.0</v>
      </c>
      <c r="U51" s="125">
        <v>161.70000000000002</v>
      </c>
      <c r="V51" s="125">
        <v>212.1</v>
      </c>
      <c r="W51" s="125">
        <v>202.23000000000002</v>
      </c>
      <c r="X51" s="126">
        <v>244.23000000000002</v>
      </c>
      <c r="Y51" s="2"/>
      <c r="Z51" s="2">
        <f t="shared" ref="Z51:AF51" si="43">min(C51,L51)</f>
        <v>86.52</v>
      </c>
      <c r="AA51" s="2">
        <f t="shared" si="43"/>
        <v>146.37</v>
      </c>
      <c r="AB51" s="2">
        <f t="shared" si="43"/>
        <v>158.34</v>
      </c>
      <c r="AC51" s="2">
        <f t="shared" si="43"/>
        <v>183.33</v>
      </c>
      <c r="AD51" s="2">
        <f t="shared" si="43"/>
        <v>323.61</v>
      </c>
      <c r="AE51" s="2">
        <f t="shared" si="43"/>
        <v>345.03</v>
      </c>
      <c r="AF51" s="2">
        <f t="shared" si="43"/>
        <v>180.6</v>
      </c>
      <c r="AG51" s="2"/>
      <c r="AH51" s="2"/>
      <c r="AI51" s="2"/>
    </row>
    <row r="52" ht="14.25" customHeight="1">
      <c r="A52" s="2"/>
      <c r="B52" s="114">
        <v>21.5</v>
      </c>
      <c r="C52" s="115">
        <v>98.33999999999999</v>
      </c>
      <c r="D52" s="115">
        <v>163.02</v>
      </c>
      <c r="E52" s="115">
        <v>178.2</v>
      </c>
      <c r="F52" s="115">
        <v>196.67999999999998</v>
      </c>
      <c r="G52" s="115">
        <v>360.14000000000004</v>
      </c>
      <c r="H52" s="115">
        <v>378.84</v>
      </c>
      <c r="I52" s="115">
        <v>189.2</v>
      </c>
      <c r="J52" s="116"/>
      <c r="K52" s="114">
        <v>21.5</v>
      </c>
      <c r="L52" s="115">
        <v>90.64</v>
      </c>
      <c r="M52" s="115">
        <v>153.34</v>
      </c>
      <c r="N52" s="115">
        <v>165.88</v>
      </c>
      <c r="O52" s="115">
        <v>192.06</v>
      </c>
      <c r="P52" s="115">
        <v>339.02</v>
      </c>
      <c r="Q52" s="115">
        <v>361.46</v>
      </c>
      <c r="R52" s="115">
        <v>192.94</v>
      </c>
      <c r="S52" s="24"/>
      <c r="T52" s="128">
        <v>21.5</v>
      </c>
      <c r="U52" s="130">
        <v>169.4</v>
      </c>
      <c r="V52" s="130">
        <v>222.2</v>
      </c>
      <c r="W52" s="130">
        <v>211.86</v>
      </c>
      <c r="X52" s="133">
        <v>255.86</v>
      </c>
      <c r="Y52" s="2"/>
      <c r="Z52" s="2">
        <f t="shared" ref="Z52:AF52" si="44">min(C52,L52)</f>
        <v>90.64</v>
      </c>
      <c r="AA52" s="2">
        <f t="shared" si="44"/>
        <v>153.34</v>
      </c>
      <c r="AB52" s="2">
        <f t="shared" si="44"/>
        <v>165.88</v>
      </c>
      <c r="AC52" s="2">
        <f t="shared" si="44"/>
        <v>192.06</v>
      </c>
      <c r="AD52" s="2">
        <f t="shared" si="44"/>
        <v>339.02</v>
      </c>
      <c r="AE52" s="2">
        <f t="shared" si="44"/>
        <v>361.46</v>
      </c>
      <c r="AF52" s="2">
        <f t="shared" si="44"/>
        <v>189.2</v>
      </c>
      <c r="AG52" s="2"/>
      <c r="AH52" s="2"/>
      <c r="AI52" s="2"/>
    </row>
    <row r="53" ht="14.25" customHeight="1">
      <c r="A53" s="2"/>
      <c r="B53" s="122">
        <v>22.0</v>
      </c>
      <c r="C53" s="123">
        <v>98.33999999999999</v>
      </c>
      <c r="D53" s="123">
        <v>163.02</v>
      </c>
      <c r="E53" s="123">
        <v>178.2</v>
      </c>
      <c r="F53" s="123">
        <v>196.67999999999998</v>
      </c>
      <c r="G53" s="123">
        <v>360.14000000000004</v>
      </c>
      <c r="H53" s="123">
        <v>378.84</v>
      </c>
      <c r="I53" s="123">
        <v>189.2</v>
      </c>
      <c r="J53" s="116"/>
      <c r="K53" s="122">
        <v>22.0</v>
      </c>
      <c r="L53" s="123">
        <f t="shared" ref="L53:R53" si="45">$K53*L$73</f>
        <v>90.64</v>
      </c>
      <c r="M53" s="123">
        <f t="shared" si="45"/>
        <v>153.34</v>
      </c>
      <c r="N53" s="123">
        <f t="shared" si="45"/>
        <v>165.88</v>
      </c>
      <c r="O53" s="123">
        <f t="shared" si="45"/>
        <v>192.06</v>
      </c>
      <c r="P53" s="123">
        <f t="shared" si="45"/>
        <v>339.02</v>
      </c>
      <c r="Q53" s="123">
        <f t="shared" si="45"/>
        <v>361.46</v>
      </c>
      <c r="R53" s="123">
        <f t="shared" si="45"/>
        <v>192.94</v>
      </c>
      <c r="S53" s="24"/>
      <c r="T53" s="124">
        <v>22.0</v>
      </c>
      <c r="U53" s="125">
        <v>169.4</v>
      </c>
      <c r="V53" s="125">
        <v>222.2</v>
      </c>
      <c r="W53" s="125">
        <v>211.86</v>
      </c>
      <c r="X53" s="126">
        <v>255.86</v>
      </c>
      <c r="Y53" s="2"/>
      <c r="Z53" s="2">
        <f t="shared" ref="Z53:AF53" si="46">min(C53,L53)</f>
        <v>90.64</v>
      </c>
      <c r="AA53" s="2">
        <f t="shared" si="46"/>
        <v>153.34</v>
      </c>
      <c r="AB53" s="2">
        <f t="shared" si="46"/>
        <v>165.88</v>
      </c>
      <c r="AC53" s="2">
        <f t="shared" si="46"/>
        <v>192.06</v>
      </c>
      <c r="AD53" s="2">
        <f t="shared" si="46"/>
        <v>339.02</v>
      </c>
      <c r="AE53" s="2">
        <f t="shared" si="46"/>
        <v>361.46</v>
      </c>
      <c r="AF53" s="2">
        <f t="shared" si="46"/>
        <v>189.2</v>
      </c>
      <c r="AG53" s="2"/>
      <c r="AH53" s="2"/>
      <c r="AI53" s="2"/>
    </row>
    <row r="54" ht="14.25" customHeight="1">
      <c r="A54" s="2"/>
      <c r="B54" s="114">
        <v>22.5</v>
      </c>
      <c r="C54" s="115">
        <v>102.80999999999999</v>
      </c>
      <c r="D54" s="115">
        <v>170.43</v>
      </c>
      <c r="E54" s="115">
        <v>186.29999999999998</v>
      </c>
      <c r="F54" s="115">
        <v>205.61999999999998</v>
      </c>
      <c r="G54" s="115">
        <v>376.51000000000005</v>
      </c>
      <c r="H54" s="115">
        <v>396.05999999999995</v>
      </c>
      <c r="I54" s="115">
        <v>197.79999999999998</v>
      </c>
      <c r="J54" s="116"/>
      <c r="K54" s="114">
        <v>22.5</v>
      </c>
      <c r="L54" s="115">
        <v>94.76</v>
      </c>
      <c r="M54" s="115">
        <v>160.31</v>
      </c>
      <c r="N54" s="115">
        <v>173.42</v>
      </c>
      <c r="O54" s="115">
        <v>200.79000000000002</v>
      </c>
      <c r="P54" s="115">
        <v>354.43</v>
      </c>
      <c r="Q54" s="115">
        <v>377.89</v>
      </c>
      <c r="R54" s="115">
        <v>201.70999999999998</v>
      </c>
      <c r="S54" s="24"/>
      <c r="T54" s="128">
        <v>22.5</v>
      </c>
      <c r="U54" s="130">
        <v>177.1</v>
      </c>
      <c r="V54" s="130">
        <v>232.29999999999998</v>
      </c>
      <c r="W54" s="130">
        <v>221.49</v>
      </c>
      <c r="X54" s="133">
        <v>267.49</v>
      </c>
      <c r="Y54" s="2"/>
      <c r="Z54" s="2">
        <f t="shared" ref="Z54:AF54" si="47">min(C54,L54)</f>
        <v>94.76</v>
      </c>
      <c r="AA54" s="2">
        <f t="shared" si="47"/>
        <v>160.31</v>
      </c>
      <c r="AB54" s="2">
        <f t="shared" si="47"/>
        <v>173.42</v>
      </c>
      <c r="AC54" s="2">
        <f t="shared" si="47"/>
        <v>200.79</v>
      </c>
      <c r="AD54" s="2">
        <f t="shared" si="47"/>
        <v>354.43</v>
      </c>
      <c r="AE54" s="2">
        <f t="shared" si="47"/>
        <v>377.89</v>
      </c>
      <c r="AF54" s="2">
        <f t="shared" si="47"/>
        <v>197.8</v>
      </c>
      <c r="AG54" s="2"/>
      <c r="AH54" s="2"/>
      <c r="AI54" s="2"/>
    </row>
    <row r="55" ht="14.25" customHeight="1">
      <c r="A55" s="2"/>
      <c r="B55" s="122">
        <v>23.0</v>
      </c>
      <c r="C55" s="123">
        <v>102.80999999999999</v>
      </c>
      <c r="D55" s="123">
        <v>170.43</v>
      </c>
      <c r="E55" s="123">
        <v>186.29999999999998</v>
      </c>
      <c r="F55" s="123">
        <v>205.61999999999998</v>
      </c>
      <c r="G55" s="123">
        <v>376.51000000000005</v>
      </c>
      <c r="H55" s="123">
        <v>396.05999999999995</v>
      </c>
      <c r="I55" s="123">
        <v>197.79999999999998</v>
      </c>
      <c r="J55" s="116"/>
      <c r="K55" s="122">
        <v>23.0</v>
      </c>
      <c r="L55" s="123">
        <f t="shared" ref="L55:R55" si="48">$K55*L$73</f>
        <v>94.76</v>
      </c>
      <c r="M55" s="123">
        <f t="shared" si="48"/>
        <v>160.31</v>
      </c>
      <c r="N55" s="123">
        <f t="shared" si="48"/>
        <v>173.42</v>
      </c>
      <c r="O55" s="123">
        <f t="shared" si="48"/>
        <v>200.79</v>
      </c>
      <c r="P55" s="123">
        <f t="shared" si="48"/>
        <v>354.43</v>
      </c>
      <c r="Q55" s="123">
        <f t="shared" si="48"/>
        <v>377.89</v>
      </c>
      <c r="R55" s="123">
        <f t="shared" si="48"/>
        <v>201.71</v>
      </c>
      <c r="S55" s="24"/>
      <c r="T55" s="124">
        <v>23.0</v>
      </c>
      <c r="U55" s="125">
        <v>177.1</v>
      </c>
      <c r="V55" s="125">
        <v>232.29999999999998</v>
      </c>
      <c r="W55" s="125">
        <v>221.49</v>
      </c>
      <c r="X55" s="126">
        <v>267.49</v>
      </c>
      <c r="Y55" s="2"/>
      <c r="Z55" s="2">
        <f t="shared" ref="Z55:AF55" si="49">min(C55,L55)</f>
        <v>94.76</v>
      </c>
      <c r="AA55" s="2">
        <f t="shared" si="49"/>
        <v>160.31</v>
      </c>
      <c r="AB55" s="2">
        <f t="shared" si="49"/>
        <v>173.42</v>
      </c>
      <c r="AC55" s="2">
        <f t="shared" si="49"/>
        <v>200.79</v>
      </c>
      <c r="AD55" s="2">
        <f t="shared" si="49"/>
        <v>354.43</v>
      </c>
      <c r="AE55" s="2">
        <f t="shared" si="49"/>
        <v>377.89</v>
      </c>
      <c r="AF55" s="2">
        <f t="shared" si="49"/>
        <v>197.8</v>
      </c>
      <c r="AG55" s="2"/>
      <c r="AH55" s="2"/>
      <c r="AI55" s="2"/>
    </row>
    <row r="56" ht="14.25" customHeight="1">
      <c r="A56" s="2"/>
      <c r="B56" s="114">
        <v>23.5</v>
      </c>
      <c r="C56" s="115">
        <v>107.28</v>
      </c>
      <c r="D56" s="115">
        <v>177.84</v>
      </c>
      <c r="E56" s="115">
        <v>194.39999999999998</v>
      </c>
      <c r="F56" s="115">
        <v>214.56</v>
      </c>
      <c r="G56" s="115">
        <v>392.88</v>
      </c>
      <c r="H56" s="115">
        <v>413.28</v>
      </c>
      <c r="I56" s="115">
        <v>206.39999999999998</v>
      </c>
      <c r="J56" s="116"/>
      <c r="K56" s="114">
        <v>23.5</v>
      </c>
      <c r="L56" s="115">
        <v>98.88</v>
      </c>
      <c r="M56" s="115">
        <v>167.28</v>
      </c>
      <c r="N56" s="115">
        <v>180.96</v>
      </c>
      <c r="O56" s="115">
        <v>209.52</v>
      </c>
      <c r="P56" s="115">
        <v>369.84000000000003</v>
      </c>
      <c r="Q56" s="115">
        <v>394.32</v>
      </c>
      <c r="R56" s="115">
        <v>210.48</v>
      </c>
      <c r="S56" s="24"/>
      <c r="T56" s="128">
        <v>23.5</v>
      </c>
      <c r="U56" s="130">
        <v>184.8</v>
      </c>
      <c r="V56" s="130">
        <v>242.39999999999998</v>
      </c>
      <c r="W56" s="130">
        <v>231.12</v>
      </c>
      <c r="X56" s="133">
        <v>279.12</v>
      </c>
      <c r="Y56" s="2"/>
      <c r="Z56" s="2">
        <f t="shared" ref="Z56:AF56" si="50">min(C56,L56)</f>
        <v>98.88</v>
      </c>
      <c r="AA56" s="2">
        <f t="shared" si="50"/>
        <v>167.28</v>
      </c>
      <c r="AB56" s="2">
        <f t="shared" si="50"/>
        <v>180.96</v>
      </c>
      <c r="AC56" s="2">
        <f t="shared" si="50"/>
        <v>209.52</v>
      </c>
      <c r="AD56" s="2">
        <f t="shared" si="50"/>
        <v>369.84</v>
      </c>
      <c r="AE56" s="2">
        <f t="shared" si="50"/>
        <v>394.32</v>
      </c>
      <c r="AF56" s="2">
        <f t="shared" si="50"/>
        <v>206.4</v>
      </c>
      <c r="AG56" s="2"/>
      <c r="AH56" s="2"/>
      <c r="AI56" s="2"/>
    </row>
    <row r="57" ht="14.25" customHeight="1">
      <c r="A57" s="2"/>
      <c r="B57" s="122">
        <v>24.0</v>
      </c>
      <c r="C57" s="123">
        <v>107.28</v>
      </c>
      <c r="D57" s="123">
        <v>177.84</v>
      </c>
      <c r="E57" s="123">
        <v>194.39999999999998</v>
      </c>
      <c r="F57" s="123">
        <v>214.56</v>
      </c>
      <c r="G57" s="123">
        <v>392.88</v>
      </c>
      <c r="H57" s="123">
        <v>413.28</v>
      </c>
      <c r="I57" s="123">
        <v>206.39999999999998</v>
      </c>
      <c r="J57" s="116"/>
      <c r="K57" s="122">
        <v>24.0</v>
      </c>
      <c r="L57" s="123">
        <f t="shared" ref="L57:R57" si="51">$K57*L$73</f>
        <v>98.88</v>
      </c>
      <c r="M57" s="123">
        <f t="shared" si="51"/>
        <v>167.28</v>
      </c>
      <c r="N57" s="123">
        <f t="shared" si="51"/>
        <v>180.96</v>
      </c>
      <c r="O57" s="123">
        <f t="shared" si="51"/>
        <v>209.52</v>
      </c>
      <c r="P57" s="123">
        <f t="shared" si="51"/>
        <v>369.84</v>
      </c>
      <c r="Q57" s="123">
        <f t="shared" si="51"/>
        <v>394.32</v>
      </c>
      <c r="R57" s="123">
        <f t="shared" si="51"/>
        <v>210.48</v>
      </c>
      <c r="S57" s="24"/>
      <c r="T57" s="124">
        <v>24.0</v>
      </c>
      <c r="U57" s="125">
        <v>184.8</v>
      </c>
      <c r="V57" s="125">
        <v>242.39999999999998</v>
      </c>
      <c r="W57" s="125">
        <v>231.12</v>
      </c>
      <c r="X57" s="126">
        <v>279.12</v>
      </c>
      <c r="Y57" s="2"/>
      <c r="Z57" s="2">
        <f t="shared" ref="Z57:AF57" si="52">min(C57,L57)</f>
        <v>98.88</v>
      </c>
      <c r="AA57" s="2">
        <f t="shared" si="52"/>
        <v>167.28</v>
      </c>
      <c r="AB57" s="2">
        <f t="shared" si="52"/>
        <v>180.96</v>
      </c>
      <c r="AC57" s="2">
        <f t="shared" si="52"/>
        <v>209.52</v>
      </c>
      <c r="AD57" s="2">
        <f t="shared" si="52"/>
        <v>369.84</v>
      </c>
      <c r="AE57" s="2">
        <f t="shared" si="52"/>
        <v>394.32</v>
      </c>
      <c r="AF57" s="2">
        <f t="shared" si="52"/>
        <v>206.4</v>
      </c>
      <c r="AG57" s="2"/>
      <c r="AH57" s="2"/>
      <c r="AI57" s="2"/>
    </row>
    <row r="58" ht="14.25" customHeight="1">
      <c r="A58" s="2"/>
      <c r="B58" s="114">
        <v>24.5</v>
      </c>
      <c r="C58" s="115">
        <v>111.75</v>
      </c>
      <c r="D58" s="115">
        <v>185.25</v>
      </c>
      <c r="E58" s="115">
        <v>202.5</v>
      </c>
      <c r="F58" s="115">
        <v>223.5</v>
      </c>
      <c r="G58" s="115">
        <v>409.25</v>
      </c>
      <c r="H58" s="115">
        <v>430.5</v>
      </c>
      <c r="I58" s="115">
        <v>215.0</v>
      </c>
      <c r="J58" s="116"/>
      <c r="K58" s="114">
        <v>24.5</v>
      </c>
      <c r="L58" s="115">
        <v>103.0</v>
      </c>
      <c r="M58" s="115">
        <v>174.25</v>
      </c>
      <c r="N58" s="115">
        <v>188.5</v>
      </c>
      <c r="O58" s="115">
        <v>218.25</v>
      </c>
      <c r="P58" s="115">
        <v>385.25</v>
      </c>
      <c r="Q58" s="115">
        <v>410.75</v>
      </c>
      <c r="R58" s="115">
        <v>219.25</v>
      </c>
      <c r="S58" s="24"/>
      <c r="T58" s="128">
        <v>24.5</v>
      </c>
      <c r="U58" s="130">
        <v>192.5</v>
      </c>
      <c r="V58" s="130">
        <v>252.5</v>
      </c>
      <c r="W58" s="130">
        <v>240.75000000000003</v>
      </c>
      <c r="X58" s="133">
        <v>290.75</v>
      </c>
      <c r="Y58" s="2"/>
      <c r="Z58" s="2">
        <f t="shared" ref="Z58:AF58" si="53">min(C58,L58)</f>
        <v>103</v>
      </c>
      <c r="AA58" s="2">
        <f t="shared" si="53"/>
        <v>174.25</v>
      </c>
      <c r="AB58" s="2">
        <f t="shared" si="53"/>
        <v>188.5</v>
      </c>
      <c r="AC58" s="2">
        <f t="shared" si="53"/>
        <v>218.25</v>
      </c>
      <c r="AD58" s="2">
        <f t="shared" si="53"/>
        <v>385.25</v>
      </c>
      <c r="AE58" s="2">
        <f t="shared" si="53"/>
        <v>410.75</v>
      </c>
      <c r="AF58" s="2">
        <f t="shared" si="53"/>
        <v>215</v>
      </c>
      <c r="AG58" s="2"/>
      <c r="AH58" s="2"/>
      <c r="AI58" s="2"/>
    </row>
    <row r="59" ht="14.25" customHeight="1">
      <c r="A59" s="2"/>
      <c r="B59" s="122">
        <v>25.0</v>
      </c>
      <c r="C59" s="123">
        <v>111.75</v>
      </c>
      <c r="D59" s="123">
        <v>185.25</v>
      </c>
      <c r="E59" s="123">
        <v>202.5</v>
      </c>
      <c r="F59" s="123">
        <v>223.5</v>
      </c>
      <c r="G59" s="123">
        <v>409.25</v>
      </c>
      <c r="H59" s="123">
        <v>430.5</v>
      </c>
      <c r="I59" s="123">
        <v>215.0</v>
      </c>
      <c r="J59" s="116"/>
      <c r="K59" s="122">
        <v>25.0</v>
      </c>
      <c r="L59" s="123">
        <f t="shared" ref="L59:R59" si="54">$K59*L$73</f>
        <v>103</v>
      </c>
      <c r="M59" s="123">
        <f t="shared" si="54"/>
        <v>174.25</v>
      </c>
      <c r="N59" s="123">
        <f t="shared" si="54"/>
        <v>188.5</v>
      </c>
      <c r="O59" s="123">
        <f t="shared" si="54"/>
        <v>218.25</v>
      </c>
      <c r="P59" s="123">
        <f t="shared" si="54"/>
        <v>385.25</v>
      </c>
      <c r="Q59" s="123">
        <f t="shared" si="54"/>
        <v>410.75</v>
      </c>
      <c r="R59" s="123">
        <f t="shared" si="54"/>
        <v>219.25</v>
      </c>
      <c r="S59" s="24"/>
      <c r="T59" s="124">
        <v>25.0</v>
      </c>
      <c r="U59" s="125">
        <v>192.5</v>
      </c>
      <c r="V59" s="125">
        <v>252.5</v>
      </c>
      <c r="W59" s="125">
        <v>240.75000000000003</v>
      </c>
      <c r="X59" s="126">
        <v>290.75</v>
      </c>
      <c r="Y59" s="2"/>
      <c r="Z59" s="2">
        <f t="shared" ref="Z59:AF59" si="55">min(C59,L59)</f>
        <v>103</v>
      </c>
      <c r="AA59" s="2">
        <f t="shared" si="55"/>
        <v>174.25</v>
      </c>
      <c r="AB59" s="2">
        <f t="shared" si="55"/>
        <v>188.5</v>
      </c>
      <c r="AC59" s="2">
        <f t="shared" si="55"/>
        <v>218.25</v>
      </c>
      <c r="AD59" s="2">
        <f t="shared" si="55"/>
        <v>385.25</v>
      </c>
      <c r="AE59" s="2">
        <f t="shared" si="55"/>
        <v>410.75</v>
      </c>
      <c r="AF59" s="2">
        <f t="shared" si="55"/>
        <v>215</v>
      </c>
      <c r="AG59" s="2"/>
      <c r="AH59" s="2"/>
      <c r="AI59" s="2"/>
    </row>
    <row r="60" ht="14.25" customHeight="1">
      <c r="A60" s="2"/>
      <c r="B60" s="114">
        <v>25.5</v>
      </c>
      <c r="C60" s="115">
        <v>116.22</v>
      </c>
      <c r="D60" s="115">
        <v>192.66</v>
      </c>
      <c r="E60" s="115">
        <v>210.6</v>
      </c>
      <c r="F60" s="115">
        <v>232.44</v>
      </c>
      <c r="G60" s="115">
        <v>425.62</v>
      </c>
      <c r="H60" s="115">
        <v>447.71999999999997</v>
      </c>
      <c r="I60" s="115">
        <v>223.6</v>
      </c>
      <c r="J60" s="116"/>
      <c r="K60" s="114">
        <v>25.5</v>
      </c>
      <c r="L60" s="115">
        <v>107.12</v>
      </c>
      <c r="M60" s="115">
        <v>181.22</v>
      </c>
      <c r="N60" s="115">
        <v>196.04</v>
      </c>
      <c r="O60" s="115">
        <v>226.98000000000002</v>
      </c>
      <c r="P60" s="115">
        <v>400.66</v>
      </c>
      <c r="Q60" s="115">
        <v>427.18</v>
      </c>
      <c r="R60" s="115">
        <v>228.01999999999998</v>
      </c>
      <c r="S60" s="24"/>
      <c r="T60" s="128">
        <v>25.5</v>
      </c>
      <c r="U60" s="130">
        <v>200.20000000000002</v>
      </c>
      <c r="V60" s="130">
        <v>262.59999999999997</v>
      </c>
      <c r="W60" s="130">
        <v>250.38000000000002</v>
      </c>
      <c r="X60" s="133">
        <v>302.38</v>
      </c>
      <c r="Y60" s="2"/>
      <c r="Z60" s="2">
        <f t="shared" ref="Z60:AF60" si="56">min(C60,L60)</f>
        <v>107.12</v>
      </c>
      <c r="AA60" s="2">
        <f t="shared" si="56"/>
        <v>181.22</v>
      </c>
      <c r="AB60" s="2">
        <f t="shared" si="56"/>
        <v>196.04</v>
      </c>
      <c r="AC60" s="2">
        <f t="shared" si="56"/>
        <v>226.98</v>
      </c>
      <c r="AD60" s="2">
        <f t="shared" si="56"/>
        <v>400.66</v>
      </c>
      <c r="AE60" s="2">
        <f t="shared" si="56"/>
        <v>427.18</v>
      </c>
      <c r="AF60" s="2">
        <f t="shared" si="56"/>
        <v>223.6</v>
      </c>
      <c r="AG60" s="2"/>
      <c r="AH60" s="2"/>
      <c r="AI60" s="2"/>
    </row>
    <row r="61" ht="14.25" customHeight="1">
      <c r="A61" s="2"/>
      <c r="B61" s="122">
        <v>26.0</v>
      </c>
      <c r="C61" s="123">
        <v>116.22</v>
      </c>
      <c r="D61" s="123">
        <v>192.66</v>
      </c>
      <c r="E61" s="123">
        <v>210.6</v>
      </c>
      <c r="F61" s="123">
        <v>232.44</v>
      </c>
      <c r="G61" s="123">
        <v>425.62</v>
      </c>
      <c r="H61" s="123">
        <v>447.71999999999997</v>
      </c>
      <c r="I61" s="123">
        <v>223.6</v>
      </c>
      <c r="J61" s="116"/>
      <c r="K61" s="122">
        <v>26.0</v>
      </c>
      <c r="L61" s="123">
        <f t="shared" ref="L61:R61" si="57">$K61*L$73</f>
        <v>107.12</v>
      </c>
      <c r="M61" s="123">
        <f t="shared" si="57"/>
        <v>181.22</v>
      </c>
      <c r="N61" s="123">
        <f t="shared" si="57"/>
        <v>196.04</v>
      </c>
      <c r="O61" s="123">
        <f t="shared" si="57"/>
        <v>226.98</v>
      </c>
      <c r="P61" s="123">
        <f t="shared" si="57"/>
        <v>400.66</v>
      </c>
      <c r="Q61" s="123">
        <f t="shared" si="57"/>
        <v>427.18</v>
      </c>
      <c r="R61" s="123">
        <f t="shared" si="57"/>
        <v>228.02</v>
      </c>
      <c r="S61" s="24"/>
      <c r="T61" s="124">
        <v>26.0</v>
      </c>
      <c r="U61" s="125">
        <v>200.20000000000002</v>
      </c>
      <c r="V61" s="125">
        <v>262.59999999999997</v>
      </c>
      <c r="W61" s="125">
        <v>250.38000000000002</v>
      </c>
      <c r="X61" s="126">
        <v>302.38</v>
      </c>
      <c r="Y61" s="2"/>
      <c r="Z61" s="2">
        <f t="shared" ref="Z61:AF61" si="58">min(C61,L61)</f>
        <v>107.12</v>
      </c>
      <c r="AA61" s="2">
        <f t="shared" si="58"/>
        <v>181.22</v>
      </c>
      <c r="AB61" s="2">
        <f t="shared" si="58"/>
        <v>196.04</v>
      </c>
      <c r="AC61" s="2">
        <f t="shared" si="58"/>
        <v>226.98</v>
      </c>
      <c r="AD61" s="2">
        <f t="shared" si="58"/>
        <v>400.66</v>
      </c>
      <c r="AE61" s="2">
        <f t="shared" si="58"/>
        <v>427.18</v>
      </c>
      <c r="AF61" s="2">
        <f t="shared" si="58"/>
        <v>223.6</v>
      </c>
      <c r="AG61" s="2"/>
      <c r="AH61" s="2"/>
      <c r="AI61" s="2"/>
    </row>
    <row r="62" ht="14.25" customHeight="1">
      <c r="A62" s="2"/>
      <c r="B62" s="114">
        <v>26.5</v>
      </c>
      <c r="C62" s="115">
        <v>120.69</v>
      </c>
      <c r="D62" s="115">
        <v>200.07</v>
      </c>
      <c r="E62" s="115">
        <v>218.7</v>
      </c>
      <c r="F62" s="115">
        <v>241.38</v>
      </c>
      <c r="G62" s="115">
        <v>441.99</v>
      </c>
      <c r="H62" s="115">
        <v>464.93999999999994</v>
      </c>
      <c r="I62" s="115">
        <v>232.2</v>
      </c>
      <c r="J62" s="116"/>
      <c r="K62" s="114">
        <v>26.5</v>
      </c>
      <c r="L62" s="115">
        <v>111.24000000000001</v>
      </c>
      <c r="M62" s="115">
        <v>188.19</v>
      </c>
      <c r="N62" s="115">
        <v>203.58</v>
      </c>
      <c r="O62" s="115">
        <v>235.71</v>
      </c>
      <c r="P62" s="115">
        <v>416.07</v>
      </c>
      <c r="Q62" s="115">
        <v>443.61</v>
      </c>
      <c r="R62" s="115">
        <v>236.79</v>
      </c>
      <c r="S62" s="24"/>
      <c r="T62" s="128">
        <v>26.5</v>
      </c>
      <c r="U62" s="130">
        <v>207.9</v>
      </c>
      <c r="V62" s="130">
        <v>272.7</v>
      </c>
      <c r="W62" s="130">
        <v>260.01000000000005</v>
      </c>
      <c r="X62" s="133">
        <v>314.01000000000005</v>
      </c>
      <c r="Y62" s="2"/>
      <c r="Z62" s="2">
        <f t="shared" ref="Z62:AF62" si="59">min(C62,L62)</f>
        <v>111.24</v>
      </c>
      <c r="AA62" s="2">
        <f t="shared" si="59"/>
        <v>188.19</v>
      </c>
      <c r="AB62" s="2">
        <f t="shared" si="59"/>
        <v>203.58</v>
      </c>
      <c r="AC62" s="2">
        <f t="shared" si="59"/>
        <v>235.71</v>
      </c>
      <c r="AD62" s="2">
        <f t="shared" si="59"/>
        <v>416.07</v>
      </c>
      <c r="AE62" s="2">
        <f t="shared" si="59"/>
        <v>443.61</v>
      </c>
      <c r="AF62" s="2">
        <f t="shared" si="59"/>
        <v>232.2</v>
      </c>
      <c r="AG62" s="2"/>
      <c r="AH62" s="2"/>
      <c r="AI62" s="2"/>
    </row>
    <row r="63" ht="14.25" customHeight="1">
      <c r="A63" s="2"/>
      <c r="B63" s="122">
        <v>27.0</v>
      </c>
      <c r="C63" s="123">
        <v>120.69</v>
      </c>
      <c r="D63" s="123">
        <v>200.07</v>
      </c>
      <c r="E63" s="123">
        <v>218.7</v>
      </c>
      <c r="F63" s="123">
        <v>241.38</v>
      </c>
      <c r="G63" s="123">
        <v>441.99</v>
      </c>
      <c r="H63" s="123">
        <v>464.93999999999994</v>
      </c>
      <c r="I63" s="123">
        <v>232.2</v>
      </c>
      <c r="J63" s="116"/>
      <c r="K63" s="122">
        <v>27.0</v>
      </c>
      <c r="L63" s="123">
        <f t="shared" ref="L63:R63" si="60">$K63*L$73</f>
        <v>111.24</v>
      </c>
      <c r="M63" s="123">
        <f t="shared" si="60"/>
        <v>188.19</v>
      </c>
      <c r="N63" s="123">
        <f t="shared" si="60"/>
        <v>203.58</v>
      </c>
      <c r="O63" s="123">
        <f t="shared" si="60"/>
        <v>235.71</v>
      </c>
      <c r="P63" s="123">
        <f t="shared" si="60"/>
        <v>416.07</v>
      </c>
      <c r="Q63" s="123">
        <f t="shared" si="60"/>
        <v>443.61</v>
      </c>
      <c r="R63" s="123">
        <f t="shared" si="60"/>
        <v>236.79</v>
      </c>
      <c r="S63" s="24"/>
      <c r="T63" s="124">
        <v>27.0</v>
      </c>
      <c r="U63" s="125">
        <v>207.9</v>
      </c>
      <c r="V63" s="125">
        <v>272.7</v>
      </c>
      <c r="W63" s="125">
        <v>260.01000000000005</v>
      </c>
      <c r="X63" s="126">
        <v>314.01000000000005</v>
      </c>
      <c r="Y63" s="2"/>
      <c r="Z63" s="2">
        <f t="shared" ref="Z63:AF63" si="61">min(C63,L63)</f>
        <v>111.24</v>
      </c>
      <c r="AA63" s="2">
        <f t="shared" si="61"/>
        <v>188.19</v>
      </c>
      <c r="AB63" s="2">
        <f t="shared" si="61"/>
        <v>203.58</v>
      </c>
      <c r="AC63" s="2">
        <f t="shared" si="61"/>
        <v>235.71</v>
      </c>
      <c r="AD63" s="2">
        <f t="shared" si="61"/>
        <v>416.07</v>
      </c>
      <c r="AE63" s="2">
        <f t="shared" si="61"/>
        <v>443.61</v>
      </c>
      <c r="AF63" s="2">
        <f t="shared" si="61"/>
        <v>232.2</v>
      </c>
      <c r="AG63" s="2"/>
      <c r="AH63" s="2"/>
      <c r="AI63" s="2"/>
    </row>
    <row r="64" ht="14.25" customHeight="1">
      <c r="A64" s="2"/>
      <c r="B64" s="114">
        <v>27.5</v>
      </c>
      <c r="C64" s="115">
        <v>125.16</v>
      </c>
      <c r="D64" s="115">
        <v>207.48000000000002</v>
      </c>
      <c r="E64" s="115">
        <v>226.79999999999998</v>
      </c>
      <c r="F64" s="115">
        <v>250.32</v>
      </c>
      <c r="G64" s="115">
        <v>458.36</v>
      </c>
      <c r="H64" s="115">
        <v>482.15999999999997</v>
      </c>
      <c r="I64" s="115">
        <v>240.79999999999998</v>
      </c>
      <c r="J64" s="116"/>
      <c r="K64" s="114">
        <v>27.5</v>
      </c>
      <c r="L64" s="115">
        <v>115.36</v>
      </c>
      <c r="M64" s="115">
        <v>195.16</v>
      </c>
      <c r="N64" s="115">
        <v>211.12</v>
      </c>
      <c r="O64" s="115">
        <v>244.44</v>
      </c>
      <c r="P64" s="115">
        <v>431.48</v>
      </c>
      <c r="Q64" s="115">
        <v>460.03999999999996</v>
      </c>
      <c r="R64" s="115">
        <v>245.56</v>
      </c>
      <c r="S64" s="24"/>
      <c r="T64" s="128">
        <v>27.5</v>
      </c>
      <c r="U64" s="130">
        <v>215.6</v>
      </c>
      <c r="V64" s="130">
        <v>282.8</v>
      </c>
      <c r="W64" s="130">
        <v>269.64000000000004</v>
      </c>
      <c r="X64" s="133">
        <v>325.64000000000004</v>
      </c>
      <c r="Y64" s="2"/>
      <c r="Z64" s="2">
        <f t="shared" ref="Z64:AF64" si="62">min(C64,L64)</f>
        <v>115.36</v>
      </c>
      <c r="AA64" s="2">
        <f t="shared" si="62"/>
        <v>195.16</v>
      </c>
      <c r="AB64" s="2">
        <f t="shared" si="62"/>
        <v>211.12</v>
      </c>
      <c r="AC64" s="2">
        <f t="shared" si="62"/>
        <v>244.44</v>
      </c>
      <c r="AD64" s="2">
        <f t="shared" si="62"/>
        <v>431.48</v>
      </c>
      <c r="AE64" s="2">
        <f t="shared" si="62"/>
        <v>460.04</v>
      </c>
      <c r="AF64" s="2">
        <f t="shared" si="62"/>
        <v>240.8</v>
      </c>
      <c r="AG64" s="2"/>
      <c r="AH64" s="2"/>
      <c r="AI64" s="2"/>
    </row>
    <row r="65" ht="14.25" customHeight="1">
      <c r="A65" s="2"/>
      <c r="B65" s="122">
        <v>28.0</v>
      </c>
      <c r="C65" s="123">
        <v>125.16</v>
      </c>
      <c r="D65" s="123">
        <v>207.48000000000002</v>
      </c>
      <c r="E65" s="123">
        <v>226.79999999999998</v>
      </c>
      <c r="F65" s="123">
        <v>250.32</v>
      </c>
      <c r="G65" s="123">
        <v>458.36</v>
      </c>
      <c r="H65" s="123">
        <v>482.15999999999997</v>
      </c>
      <c r="I65" s="123">
        <v>240.79999999999998</v>
      </c>
      <c r="J65" s="116"/>
      <c r="K65" s="122">
        <v>28.0</v>
      </c>
      <c r="L65" s="123">
        <f t="shared" ref="L65:R65" si="63">$K65*L$73</f>
        <v>115.36</v>
      </c>
      <c r="M65" s="123">
        <f t="shared" si="63"/>
        <v>195.16</v>
      </c>
      <c r="N65" s="123">
        <f t="shared" si="63"/>
        <v>211.12</v>
      </c>
      <c r="O65" s="123">
        <f t="shared" si="63"/>
        <v>244.44</v>
      </c>
      <c r="P65" s="123">
        <f t="shared" si="63"/>
        <v>431.48</v>
      </c>
      <c r="Q65" s="123">
        <f t="shared" si="63"/>
        <v>460.04</v>
      </c>
      <c r="R65" s="123">
        <f t="shared" si="63"/>
        <v>245.56</v>
      </c>
      <c r="S65" s="24"/>
      <c r="T65" s="124">
        <v>28.0</v>
      </c>
      <c r="U65" s="125">
        <v>215.6</v>
      </c>
      <c r="V65" s="125">
        <v>282.8</v>
      </c>
      <c r="W65" s="125">
        <v>269.64000000000004</v>
      </c>
      <c r="X65" s="126">
        <v>325.64000000000004</v>
      </c>
      <c r="Y65" s="2"/>
      <c r="Z65" s="2">
        <f t="shared" ref="Z65:AF65" si="64">min(C65,L65)</f>
        <v>115.36</v>
      </c>
      <c r="AA65" s="2">
        <f t="shared" si="64"/>
        <v>195.16</v>
      </c>
      <c r="AB65" s="2">
        <f t="shared" si="64"/>
        <v>211.12</v>
      </c>
      <c r="AC65" s="2">
        <f t="shared" si="64"/>
        <v>244.44</v>
      </c>
      <c r="AD65" s="2">
        <f t="shared" si="64"/>
        <v>431.48</v>
      </c>
      <c r="AE65" s="2">
        <f t="shared" si="64"/>
        <v>460.04</v>
      </c>
      <c r="AF65" s="2">
        <f t="shared" si="64"/>
        <v>240.8</v>
      </c>
      <c r="AG65" s="2"/>
      <c r="AH65" s="2"/>
      <c r="AI65" s="2"/>
    </row>
    <row r="66" ht="14.25" customHeight="1">
      <c r="A66" s="2"/>
      <c r="B66" s="114">
        <v>28.5</v>
      </c>
      <c r="C66" s="115">
        <v>129.63</v>
      </c>
      <c r="D66" s="115">
        <v>214.89000000000001</v>
      </c>
      <c r="E66" s="115">
        <v>234.89999999999998</v>
      </c>
      <c r="F66" s="115">
        <v>259.26</v>
      </c>
      <c r="G66" s="115">
        <v>474.73</v>
      </c>
      <c r="H66" s="115">
        <v>499.38</v>
      </c>
      <c r="I66" s="115">
        <v>249.39999999999998</v>
      </c>
      <c r="J66" s="116"/>
      <c r="K66" s="114">
        <v>28.5</v>
      </c>
      <c r="L66" s="115">
        <v>119.48</v>
      </c>
      <c r="M66" s="115">
        <v>202.13</v>
      </c>
      <c r="N66" s="115">
        <v>218.66</v>
      </c>
      <c r="O66" s="115">
        <v>253.17000000000002</v>
      </c>
      <c r="P66" s="115">
        <v>446.89</v>
      </c>
      <c r="Q66" s="115">
        <v>476.46999999999997</v>
      </c>
      <c r="R66" s="115">
        <v>254.32999999999998</v>
      </c>
      <c r="S66" s="24"/>
      <c r="T66" s="128">
        <v>28.5</v>
      </c>
      <c r="U66" s="130">
        <v>223.3</v>
      </c>
      <c r="V66" s="130">
        <v>292.9</v>
      </c>
      <c r="W66" s="130">
        <v>279.27000000000004</v>
      </c>
      <c r="X66" s="133">
        <v>337.27000000000004</v>
      </c>
      <c r="Y66" s="2"/>
      <c r="Z66" s="2">
        <f t="shared" ref="Z66:AF66" si="65">min(C66,L66)</f>
        <v>119.48</v>
      </c>
      <c r="AA66" s="2">
        <f t="shared" si="65"/>
        <v>202.13</v>
      </c>
      <c r="AB66" s="2">
        <f t="shared" si="65"/>
        <v>218.66</v>
      </c>
      <c r="AC66" s="2">
        <f t="shared" si="65"/>
        <v>253.17</v>
      </c>
      <c r="AD66" s="2">
        <f t="shared" si="65"/>
        <v>446.89</v>
      </c>
      <c r="AE66" s="2">
        <f t="shared" si="65"/>
        <v>476.47</v>
      </c>
      <c r="AF66" s="2">
        <f t="shared" si="65"/>
        <v>249.4</v>
      </c>
      <c r="AG66" s="2"/>
      <c r="AH66" s="2"/>
      <c r="AI66" s="2"/>
    </row>
    <row r="67" ht="14.25" customHeight="1">
      <c r="A67" s="2"/>
      <c r="B67" s="122">
        <v>29.0</v>
      </c>
      <c r="C67" s="123">
        <v>129.63</v>
      </c>
      <c r="D67" s="123">
        <v>214.89000000000001</v>
      </c>
      <c r="E67" s="123">
        <v>234.89999999999998</v>
      </c>
      <c r="F67" s="123">
        <v>259.26</v>
      </c>
      <c r="G67" s="123">
        <v>474.73</v>
      </c>
      <c r="H67" s="123">
        <v>499.38</v>
      </c>
      <c r="I67" s="123">
        <v>249.39999999999998</v>
      </c>
      <c r="J67" s="116"/>
      <c r="K67" s="122">
        <v>29.0</v>
      </c>
      <c r="L67" s="123">
        <f t="shared" ref="L67:R67" si="66">$K67*L$73</f>
        <v>119.48</v>
      </c>
      <c r="M67" s="123">
        <f t="shared" si="66"/>
        <v>202.13</v>
      </c>
      <c r="N67" s="123">
        <f t="shared" si="66"/>
        <v>218.66</v>
      </c>
      <c r="O67" s="123">
        <f t="shared" si="66"/>
        <v>253.17</v>
      </c>
      <c r="P67" s="123">
        <f t="shared" si="66"/>
        <v>446.89</v>
      </c>
      <c r="Q67" s="123">
        <f t="shared" si="66"/>
        <v>476.47</v>
      </c>
      <c r="R67" s="123">
        <f t="shared" si="66"/>
        <v>254.33</v>
      </c>
      <c r="S67" s="24"/>
      <c r="T67" s="124">
        <v>29.0</v>
      </c>
      <c r="U67" s="125">
        <v>223.3</v>
      </c>
      <c r="V67" s="125">
        <v>292.9</v>
      </c>
      <c r="W67" s="125">
        <v>279.27000000000004</v>
      </c>
      <c r="X67" s="126">
        <v>337.27000000000004</v>
      </c>
      <c r="Y67" s="2"/>
      <c r="Z67" s="2">
        <f t="shared" ref="Z67:AF67" si="67">min(C67,L67)</f>
        <v>119.48</v>
      </c>
      <c r="AA67" s="2">
        <f t="shared" si="67"/>
        <v>202.13</v>
      </c>
      <c r="AB67" s="2">
        <f t="shared" si="67"/>
        <v>218.66</v>
      </c>
      <c r="AC67" s="2">
        <f t="shared" si="67"/>
        <v>253.17</v>
      </c>
      <c r="AD67" s="2">
        <f t="shared" si="67"/>
        <v>446.89</v>
      </c>
      <c r="AE67" s="2">
        <f t="shared" si="67"/>
        <v>476.47</v>
      </c>
      <c r="AF67" s="2">
        <f t="shared" si="67"/>
        <v>249.4</v>
      </c>
      <c r="AG67" s="2"/>
      <c r="AH67" s="2"/>
      <c r="AI67" s="2"/>
    </row>
    <row r="68" ht="14.25" customHeight="1">
      <c r="A68" s="2"/>
      <c r="B68" s="72">
        <v>29.5</v>
      </c>
      <c r="C68" s="115">
        <v>134.1</v>
      </c>
      <c r="D68" s="115">
        <v>222.3</v>
      </c>
      <c r="E68" s="115">
        <v>243.0</v>
      </c>
      <c r="F68" s="115">
        <v>268.2</v>
      </c>
      <c r="G68" s="115">
        <v>491.1</v>
      </c>
      <c r="H68" s="115">
        <v>516.5999999999999</v>
      </c>
      <c r="I68" s="115">
        <v>258.0</v>
      </c>
      <c r="J68" s="116"/>
      <c r="K68" s="72">
        <v>29.5</v>
      </c>
      <c r="L68" s="115">
        <v>123.60000000000001</v>
      </c>
      <c r="M68" s="115">
        <v>209.1</v>
      </c>
      <c r="N68" s="115">
        <v>226.2</v>
      </c>
      <c r="O68" s="115">
        <v>261.90000000000003</v>
      </c>
      <c r="P68" s="115">
        <v>462.3</v>
      </c>
      <c r="Q68" s="115">
        <v>492.9</v>
      </c>
      <c r="R68" s="115">
        <v>263.09999999999997</v>
      </c>
      <c r="S68" s="24"/>
      <c r="T68" s="128">
        <v>29.5</v>
      </c>
      <c r="U68" s="130">
        <v>231.0</v>
      </c>
      <c r="V68" s="130">
        <v>303.0</v>
      </c>
      <c r="W68" s="130">
        <v>288.90000000000003</v>
      </c>
      <c r="X68" s="133">
        <v>348.90000000000003</v>
      </c>
      <c r="Y68" s="2"/>
      <c r="Z68" s="2">
        <f t="shared" ref="Z68:AF68" si="68">min(C68,L68)</f>
        <v>123.6</v>
      </c>
      <c r="AA68" s="2">
        <f t="shared" si="68"/>
        <v>209.1</v>
      </c>
      <c r="AB68" s="2">
        <f t="shared" si="68"/>
        <v>226.2</v>
      </c>
      <c r="AC68" s="2">
        <f t="shared" si="68"/>
        <v>261.9</v>
      </c>
      <c r="AD68" s="2">
        <f t="shared" si="68"/>
        <v>462.3</v>
      </c>
      <c r="AE68" s="2">
        <f t="shared" si="68"/>
        <v>492.9</v>
      </c>
      <c r="AF68" s="2">
        <f t="shared" si="68"/>
        <v>258</v>
      </c>
      <c r="AG68" s="2"/>
      <c r="AH68" s="2"/>
      <c r="AI68" s="2"/>
    </row>
    <row r="69" ht="14.25" customHeight="1">
      <c r="A69" s="2"/>
      <c r="B69" s="122">
        <v>30.0</v>
      </c>
      <c r="C69" s="123">
        <v>134.1</v>
      </c>
      <c r="D69" s="123">
        <v>222.3</v>
      </c>
      <c r="E69" s="123">
        <v>243.0</v>
      </c>
      <c r="F69" s="123">
        <v>268.2</v>
      </c>
      <c r="G69" s="123">
        <v>491.1</v>
      </c>
      <c r="H69" s="123">
        <v>516.5999999999999</v>
      </c>
      <c r="I69" s="123">
        <v>258.0</v>
      </c>
      <c r="J69" s="116"/>
      <c r="K69" s="122">
        <v>30.0</v>
      </c>
      <c r="L69" s="123">
        <f t="shared" ref="L69:R69" si="69">$K69*L$73</f>
        <v>123.6</v>
      </c>
      <c r="M69" s="123">
        <f t="shared" si="69"/>
        <v>209.1</v>
      </c>
      <c r="N69" s="123">
        <f t="shared" si="69"/>
        <v>226.2</v>
      </c>
      <c r="O69" s="123">
        <f t="shared" si="69"/>
        <v>261.9</v>
      </c>
      <c r="P69" s="123">
        <f t="shared" si="69"/>
        <v>462.3</v>
      </c>
      <c r="Q69" s="123">
        <f t="shared" si="69"/>
        <v>492.9</v>
      </c>
      <c r="R69" s="123">
        <f t="shared" si="69"/>
        <v>263.1</v>
      </c>
      <c r="S69" s="24"/>
      <c r="T69" s="124">
        <v>30.0</v>
      </c>
      <c r="U69" s="125">
        <v>231.0</v>
      </c>
      <c r="V69" s="125">
        <v>303.0</v>
      </c>
      <c r="W69" s="125">
        <v>288.90000000000003</v>
      </c>
      <c r="X69" s="126">
        <v>348.90000000000003</v>
      </c>
      <c r="Y69" s="2"/>
      <c r="Z69" s="2">
        <f t="shared" ref="Z69:AF69" si="70">min(C69,L69)</f>
        <v>123.6</v>
      </c>
      <c r="AA69" s="2">
        <f t="shared" si="70"/>
        <v>209.1</v>
      </c>
      <c r="AB69" s="2">
        <f t="shared" si="70"/>
        <v>226.2</v>
      </c>
      <c r="AC69" s="2">
        <f t="shared" si="70"/>
        <v>261.9</v>
      </c>
      <c r="AD69" s="2">
        <f t="shared" si="70"/>
        <v>462.3</v>
      </c>
      <c r="AE69" s="2">
        <f t="shared" si="70"/>
        <v>492.9</v>
      </c>
      <c r="AF69" s="2">
        <f t="shared" si="70"/>
        <v>258</v>
      </c>
      <c r="AG69" s="2"/>
      <c r="AH69" s="2"/>
      <c r="AI69" s="2"/>
    </row>
    <row r="70" ht="14.25" customHeight="1">
      <c r="A70" s="2"/>
      <c r="B70" s="114">
        <v>30.5</v>
      </c>
      <c r="C70" s="115">
        <v>138.57</v>
      </c>
      <c r="D70" s="115">
        <v>229.71</v>
      </c>
      <c r="E70" s="115">
        <v>251.1</v>
      </c>
      <c r="F70" s="115">
        <v>277.14</v>
      </c>
      <c r="G70" s="115">
        <v>507.47</v>
      </c>
      <c r="H70" s="115">
        <v>533.8199999999999</v>
      </c>
      <c r="I70" s="115">
        <v>266.59999999999997</v>
      </c>
      <c r="J70" s="116"/>
      <c r="K70" s="114">
        <v>30.5</v>
      </c>
      <c r="L70" s="115">
        <v>127.72</v>
      </c>
      <c r="M70" s="115">
        <v>216.07</v>
      </c>
      <c r="N70" s="115">
        <v>233.74</v>
      </c>
      <c r="O70" s="115">
        <v>270.63</v>
      </c>
      <c r="P70" s="115">
        <v>477.71</v>
      </c>
      <c r="Q70" s="115">
        <v>509.33</v>
      </c>
      <c r="R70" s="115">
        <v>271.87</v>
      </c>
      <c r="S70" s="24"/>
      <c r="T70" s="128">
        <v>30.5</v>
      </c>
      <c r="U70" s="130">
        <v>238.70000000000002</v>
      </c>
      <c r="V70" s="130">
        <v>313.09999999999997</v>
      </c>
      <c r="W70" s="130">
        <v>298.53000000000003</v>
      </c>
      <c r="X70" s="133">
        <v>360.53000000000003</v>
      </c>
      <c r="Y70" s="2"/>
      <c r="Z70" s="2">
        <f t="shared" ref="Z70:AF70" si="71">min(C70,L70)</f>
        <v>127.72</v>
      </c>
      <c r="AA70" s="2">
        <f t="shared" si="71"/>
        <v>216.07</v>
      </c>
      <c r="AB70" s="2">
        <f t="shared" si="71"/>
        <v>233.74</v>
      </c>
      <c r="AC70" s="2">
        <f t="shared" si="71"/>
        <v>270.63</v>
      </c>
      <c r="AD70" s="2">
        <f t="shared" si="71"/>
        <v>477.71</v>
      </c>
      <c r="AE70" s="2">
        <f t="shared" si="71"/>
        <v>509.33</v>
      </c>
      <c r="AF70" s="2">
        <f t="shared" si="71"/>
        <v>266.6</v>
      </c>
      <c r="AG70" s="2"/>
      <c r="AH70" s="2"/>
      <c r="AI70" s="2"/>
    </row>
    <row r="71" ht="14.25" customHeight="1">
      <c r="A71" s="2"/>
      <c r="B71" s="122">
        <v>31.0</v>
      </c>
      <c r="C71" s="123">
        <v>138.57</v>
      </c>
      <c r="D71" s="123">
        <v>229.71</v>
      </c>
      <c r="E71" s="123">
        <v>251.1</v>
      </c>
      <c r="F71" s="123">
        <v>277.14</v>
      </c>
      <c r="G71" s="123">
        <v>507.47</v>
      </c>
      <c r="H71" s="123">
        <v>533.8199999999999</v>
      </c>
      <c r="I71" s="123">
        <v>266.59999999999997</v>
      </c>
      <c r="J71" s="116"/>
      <c r="K71" s="122">
        <v>31.0</v>
      </c>
      <c r="L71" s="123">
        <f t="shared" ref="L71:R71" si="72">$K71*L$73</f>
        <v>127.72</v>
      </c>
      <c r="M71" s="123">
        <f t="shared" si="72"/>
        <v>216.07</v>
      </c>
      <c r="N71" s="123">
        <f t="shared" si="72"/>
        <v>233.74</v>
      </c>
      <c r="O71" s="123">
        <f t="shared" si="72"/>
        <v>270.63</v>
      </c>
      <c r="P71" s="123">
        <f t="shared" si="72"/>
        <v>477.71</v>
      </c>
      <c r="Q71" s="123">
        <f t="shared" si="72"/>
        <v>509.33</v>
      </c>
      <c r="R71" s="123">
        <f t="shared" si="72"/>
        <v>271.87</v>
      </c>
      <c r="S71" s="24"/>
      <c r="T71" s="124">
        <v>31.0</v>
      </c>
      <c r="U71" s="125">
        <v>238.70000000000002</v>
      </c>
      <c r="V71" s="125">
        <v>313.09999999999997</v>
      </c>
      <c r="W71" s="125">
        <v>298.53000000000003</v>
      </c>
      <c r="X71" s="126">
        <v>360.53000000000003</v>
      </c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ht="14.25" customHeight="1">
      <c r="A72" s="2"/>
      <c r="B72" s="114">
        <v>31.5</v>
      </c>
      <c r="C72" s="115">
        <v>143.04</v>
      </c>
      <c r="D72" s="115">
        <v>237.12</v>
      </c>
      <c r="E72" s="115">
        <v>259.2</v>
      </c>
      <c r="F72" s="115">
        <v>286.08</v>
      </c>
      <c r="G72" s="115">
        <v>523.84</v>
      </c>
      <c r="H72" s="115">
        <v>551.04</v>
      </c>
      <c r="I72" s="115">
        <v>275.2</v>
      </c>
      <c r="J72" s="116"/>
      <c r="K72" s="114">
        <v>31.5</v>
      </c>
      <c r="L72" s="115">
        <v>131.84</v>
      </c>
      <c r="M72" s="115">
        <v>223.04</v>
      </c>
      <c r="N72" s="115">
        <v>241.28</v>
      </c>
      <c r="O72" s="115">
        <v>279.36</v>
      </c>
      <c r="P72" s="115">
        <v>493.12</v>
      </c>
      <c r="Q72" s="115">
        <v>525.76</v>
      </c>
      <c r="R72" s="115">
        <v>280.64</v>
      </c>
      <c r="S72" s="24"/>
      <c r="T72" s="128">
        <v>31.5</v>
      </c>
      <c r="U72" s="130">
        <v>246.4</v>
      </c>
      <c r="V72" s="130">
        <v>323.2</v>
      </c>
      <c r="W72" s="130">
        <v>308.16</v>
      </c>
      <c r="X72" s="133">
        <v>372.16</v>
      </c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ht="14.25" customHeight="1">
      <c r="A73" s="2"/>
      <c r="B73" s="163" t="s">
        <v>28</v>
      </c>
      <c r="C73" s="172">
        <v>4.47</v>
      </c>
      <c r="D73" s="172">
        <v>7.41</v>
      </c>
      <c r="E73" s="172">
        <v>8.1</v>
      </c>
      <c r="F73" s="172">
        <v>8.94</v>
      </c>
      <c r="G73" s="172">
        <v>16.37</v>
      </c>
      <c r="H73" s="172">
        <v>17.22</v>
      </c>
      <c r="I73" s="172">
        <v>8.6</v>
      </c>
      <c r="J73" s="116"/>
      <c r="K73" s="163" t="s">
        <v>28</v>
      </c>
      <c r="L73" s="172">
        <v>4.12</v>
      </c>
      <c r="M73" s="172">
        <v>6.97</v>
      </c>
      <c r="N73" s="172">
        <v>7.54</v>
      </c>
      <c r="O73" s="172">
        <v>8.73</v>
      </c>
      <c r="P73" s="172">
        <v>15.41</v>
      </c>
      <c r="Q73" s="172">
        <v>16.43</v>
      </c>
      <c r="R73" s="172">
        <v>8.77</v>
      </c>
      <c r="S73" s="24"/>
      <c r="T73" s="163" t="s">
        <v>28</v>
      </c>
      <c r="U73" s="172">
        <v>7.7</v>
      </c>
      <c r="V73" s="172">
        <v>10.1</v>
      </c>
      <c r="W73" s="172">
        <v>9.63</v>
      </c>
      <c r="X73" s="173">
        <v>11.63</v>
      </c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ht="14.25" customHeight="1">
      <c r="A74" s="2"/>
      <c r="B74" s="163" t="s">
        <v>29</v>
      </c>
      <c r="C74" s="172">
        <v>4.03</v>
      </c>
      <c r="D74" s="172">
        <v>6.87</v>
      </c>
      <c r="E74" s="172">
        <v>6.57</v>
      </c>
      <c r="F74" s="172">
        <v>7.51</v>
      </c>
      <c r="G74" s="172">
        <v>13.22</v>
      </c>
      <c r="H74" s="172">
        <v>15.49</v>
      </c>
      <c r="I74" s="172">
        <v>6.95</v>
      </c>
      <c r="J74" s="116"/>
      <c r="K74" s="163" t="s">
        <v>29</v>
      </c>
      <c r="L74" s="172">
        <v>3.72</v>
      </c>
      <c r="M74" s="172">
        <v>6.41</v>
      </c>
      <c r="N74" s="172">
        <v>6.16</v>
      </c>
      <c r="O74" s="172">
        <v>7.16</v>
      </c>
      <c r="P74" s="172">
        <v>12.47</v>
      </c>
      <c r="Q74" s="172">
        <v>14.78</v>
      </c>
      <c r="R74" s="172">
        <v>7.11</v>
      </c>
      <c r="S74" s="24"/>
      <c r="T74" s="176" t="s">
        <v>29</v>
      </c>
      <c r="U74" s="172">
        <v>7.7</v>
      </c>
      <c r="V74" s="172">
        <v>10.1</v>
      </c>
      <c r="W74" s="172">
        <v>9.63</v>
      </c>
      <c r="X74" s="173">
        <v>11.63</v>
      </c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ht="14.25" customHeight="1">
      <c r="A75" s="2"/>
      <c r="B75" s="163" t="s">
        <v>30</v>
      </c>
      <c r="C75" s="172">
        <v>3.74</v>
      </c>
      <c r="D75" s="172">
        <v>5.95</v>
      </c>
      <c r="E75" s="172">
        <v>5.69</v>
      </c>
      <c r="F75" s="172">
        <v>8.14</v>
      </c>
      <c r="G75" s="172">
        <v>10.74</v>
      </c>
      <c r="H75" s="172">
        <v>11.84</v>
      </c>
      <c r="I75" s="172">
        <v>7.53</v>
      </c>
      <c r="J75" s="116"/>
      <c r="K75" s="163" t="s">
        <v>30</v>
      </c>
      <c r="L75" s="172">
        <v>4.03</v>
      </c>
      <c r="M75" s="172">
        <v>6.41</v>
      </c>
      <c r="N75" s="172">
        <v>6.16</v>
      </c>
      <c r="O75" s="172">
        <v>7.16</v>
      </c>
      <c r="P75" s="172">
        <v>13.37</v>
      </c>
      <c r="Q75" s="172">
        <v>14.78</v>
      </c>
      <c r="R75" s="172">
        <v>7.11</v>
      </c>
      <c r="S75" s="24"/>
      <c r="T75" s="176" t="s">
        <v>30</v>
      </c>
      <c r="U75" s="172">
        <v>7.7</v>
      </c>
      <c r="V75" s="172">
        <v>10.1</v>
      </c>
      <c r="W75" s="172">
        <v>9.63</v>
      </c>
      <c r="X75" s="173">
        <v>11.63</v>
      </c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ht="14.25" customHeight="1">
      <c r="A76" s="2"/>
      <c r="B76" s="163" t="s">
        <v>31</v>
      </c>
      <c r="C76" s="172">
        <v>3.71</v>
      </c>
      <c r="D76" s="172">
        <v>5.89</v>
      </c>
      <c r="E76" s="172">
        <v>5.69</v>
      </c>
      <c r="F76" s="172">
        <v>8.14</v>
      </c>
      <c r="G76" s="172">
        <v>10.71</v>
      </c>
      <c r="H76" s="172">
        <v>11.69</v>
      </c>
      <c r="I76" s="172">
        <v>7.42</v>
      </c>
      <c r="J76" s="116"/>
      <c r="K76" s="163" t="s">
        <v>31</v>
      </c>
      <c r="L76" s="172">
        <v>3.99</v>
      </c>
      <c r="M76" s="172">
        <v>6.34</v>
      </c>
      <c r="N76" s="172">
        <v>6.16</v>
      </c>
      <c r="O76" s="172">
        <v>7.0</v>
      </c>
      <c r="P76" s="172">
        <v>13.29</v>
      </c>
      <c r="Q76" s="172">
        <v>14.66</v>
      </c>
      <c r="R76" s="172">
        <v>7.01</v>
      </c>
      <c r="S76" s="24"/>
      <c r="T76" s="176" t="s">
        <v>31</v>
      </c>
      <c r="U76" s="172">
        <v>7.7</v>
      </c>
      <c r="V76" s="172">
        <v>10.1</v>
      </c>
      <c r="W76" s="172">
        <v>9.63</v>
      </c>
      <c r="X76" s="173">
        <v>11.63</v>
      </c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ht="14.25" customHeight="1">
      <c r="A77" s="2"/>
      <c r="B77" s="163" t="s">
        <v>32</v>
      </c>
      <c r="C77" s="172">
        <v>3.69</v>
      </c>
      <c r="D77" s="172">
        <v>5.85</v>
      </c>
      <c r="E77" s="172">
        <v>5.69</v>
      </c>
      <c r="F77" s="172">
        <v>8.09</v>
      </c>
      <c r="G77" s="172">
        <v>10.61</v>
      </c>
      <c r="H77" s="172">
        <v>11.58</v>
      </c>
      <c r="I77" s="172">
        <v>7.36</v>
      </c>
      <c r="J77" s="116"/>
      <c r="K77" s="163" t="s">
        <v>32</v>
      </c>
      <c r="L77" s="172">
        <v>3.97</v>
      </c>
      <c r="M77" s="172">
        <v>6.34</v>
      </c>
      <c r="N77" s="172">
        <v>6.16</v>
      </c>
      <c r="O77" s="172">
        <v>6.94</v>
      </c>
      <c r="P77" s="172">
        <v>13.17</v>
      </c>
      <c r="Q77" s="172">
        <v>14.6</v>
      </c>
      <c r="R77" s="172">
        <v>6.95</v>
      </c>
      <c r="S77" s="24"/>
      <c r="T77" s="176" t="s">
        <v>32</v>
      </c>
      <c r="U77" s="172">
        <v>7.7</v>
      </c>
      <c r="V77" s="172">
        <v>10.1</v>
      </c>
      <c r="W77" s="172">
        <v>9.63</v>
      </c>
      <c r="X77" s="173">
        <v>11.63</v>
      </c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ht="14.25" customHeight="1">
      <c r="A78" s="2"/>
      <c r="B78" s="163" t="s">
        <v>33</v>
      </c>
      <c r="C78" s="172">
        <v>3.69</v>
      </c>
      <c r="D78" s="172">
        <v>5.84</v>
      </c>
      <c r="E78" s="172">
        <v>5.69</v>
      </c>
      <c r="F78" s="172">
        <v>8.09</v>
      </c>
      <c r="G78" s="172">
        <v>10.6</v>
      </c>
      <c r="H78" s="172">
        <v>11.56</v>
      </c>
      <c r="I78" s="172">
        <v>7.35</v>
      </c>
      <c r="J78" s="116"/>
      <c r="K78" s="163" t="s">
        <v>33</v>
      </c>
      <c r="L78" s="172">
        <v>3.97</v>
      </c>
      <c r="M78" s="172">
        <v>6.33</v>
      </c>
      <c r="N78" s="172">
        <v>6.15</v>
      </c>
      <c r="O78" s="172">
        <v>6.94</v>
      </c>
      <c r="P78" s="172">
        <v>13.14</v>
      </c>
      <c r="Q78" s="172">
        <v>14.57</v>
      </c>
      <c r="R78" s="172">
        <v>6.94</v>
      </c>
      <c r="S78" s="24"/>
      <c r="T78" s="176" t="s">
        <v>33</v>
      </c>
      <c r="U78" s="172">
        <v>7.7</v>
      </c>
      <c r="V78" s="172">
        <v>10.1</v>
      </c>
      <c r="W78" s="172">
        <v>9.63</v>
      </c>
      <c r="X78" s="173">
        <v>11.63</v>
      </c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ht="14.25" customHeight="1">
      <c r="A79" s="2"/>
      <c r="B79" s="163" t="s">
        <v>34</v>
      </c>
      <c r="C79" s="172">
        <v>3.69</v>
      </c>
      <c r="D79" s="172">
        <v>5.84</v>
      </c>
      <c r="E79" s="172">
        <v>5.69</v>
      </c>
      <c r="F79" s="172">
        <v>8.09</v>
      </c>
      <c r="G79" s="172">
        <v>10.58</v>
      </c>
      <c r="H79" s="172">
        <v>11.54</v>
      </c>
      <c r="I79" s="172">
        <v>7.33</v>
      </c>
      <c r="J79" s="116"/>
      <c r="K79" s="163" t="s">
        <v>34</v>
      </c>
      <c r="L79" s="172">
        <v>3.97</v>
      </c>
      <c r="M79" s="172">
        <v>6.33</v>
      </c>
      <c r="N79" s="172">
        <v>6.15</v>
      </c>
      <c r="O79" s="172">
        <v>6.93</v>
      </c>
      <c r="P79" s="172">
        <v>13.13</v>
      </c>
      <c r="Q79" s="172">
        <v>14.55</v>
      </c>
      <c r="R79" s="172">
        <v>6.93</v>
      </c>
      <c r="S79" s="24"/>
      <c r="T79" s="176" t="s">
        <v>34</v>
      </c>
      <c r="U79" s="172">
        <v>7.7</v>
      </c>
      <c r="V79" s="172">
        <v>10.1</v>
      </c>
      <c r="W79" s="172">
        <v>9.63</v>
      </c>
      <c r="X79" s="173">
        <v>11.63</v>
      </c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ht="14.25" customHeight="1">
      <c r="A80" s="2"/>
      <c r="B80" s="168" t="s">
        <v>35</v>
      </c>
      <c r="C80" s="172">
        <v>3.69</v>
      </c>
      <c r="D80" s="172">
        <v>5.84</v>
      </c>
      <c r="E80" s="172">
        <v>5.69</v>
      </c>
      <c r="F80" s="172">
        <v>8.09</v>
      </c>
      <c r="G80" s="172">
        <v>10.58</v>
      </c>
      <c r="H80" s="172">
        <v>11.54</v>
      </c>
      <c r="I80" s="172">
        <v>7.33</v>
      </c>
      <c r="J80" s="116"/>
      <c r="K80" s="168" t="s">
        <v>35</v>
      </c>
      <c r="L80" s="172">
        <v>3.97</v>
      </c>
      <c r="M80" s="172">
        <v>6.33</v>
      </c>
      <c r="N80" s="172">
        <v>6.15</v>
      </c>
      <c r="O80" s="172">
        <v>6.93</v>
      </c>
      <c r="P80" s="172">
        <v>13.13</v>
      </c>
      <c r="Q80" s="172">
        <v>14.55</v>
      </c>
      <c r="R80" s="172">
        <v>6.93</v>
      </c>
      <c r="S80" s="24"/>
      <c r="T80" s="182" t="s">
        <v>35</v>
      </c>
      <c r="U80" s="183">
        <v>7.7</v>
      </c>
      <c r="V80" s="183">
        <v>10.1</v>
      </c>
      <c r="W80" s="183">
        <v>9.63</v>
      </c>
      <c r="X80" s="184">
        <v>11.63</v>
      </c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9"/>
      <c r="U90" s="9"/>
      <c r="V90" s="9"/>
      <c r="W90" s="9"/>
      <c r="X90" s="9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9"/>
      <c r="U91" s="9"/>
      <c r="V91" s="9"/>
      <c r="W91" s="9"/>
      <c r="X91" s="9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9"/>
      <c r="U92" s="9"/>
      <c r="V92" s="9"/>
      <c r="W92" s="9"/>
      <c r="X92" s="9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9"/>
      <c r="U93" s="9"/>
      <c r="V93" s="9"/>
      <c r="W93" s="9"/>
      <c r="X93" s="9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9"/>
      <c r="U94" s="9"/>
      <c r="V94" s="9"/>
      <c r="W94" s="9"/>
      <c r="X94" s="9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9"/>
      <c r="U95" s="9"/>
      <c r="V95" s="9"/>
      <c r="W95" s="9"/>
      <c r="X95" s="9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9"/>
      <c r="U96" s="9"/>
      <c r="V96" s="9"/>
      <c r="W96" s="9"/>
      <c r="X96" s="9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9"/>
      <c r="U97" s="9"/>
      <c r="V97" s="9"/>
      <c r="W97" s="9"/>
      <c r="X97" s="9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9"/>
      <c r="U98" s="9"/>
      <c r="V98" s="9"/>
      <c r="W98" s="9"/>
      <c r="X98" s="9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9"/>
      <c r="U99" s="9"/>
      <c r="V99" s="9"/>
      <c r="W99" s="9"/>
      <c r="X99" s="9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9"/>
      <c r="U100" s="9"/>
      <c r="V100" s="9"/>
      <c r="W100" s="9"/>
      <c r="X100" s="9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1"/>
      <c r="L101" s="2"/>
      <c r="M101" s="2"/>
      <c r="N101" s="2"/>
      <c r="O101" s="2"/>
      <c r="P101" s="2"/>
      <c r="Q101" s="2"/>
      <c r="R101" s="2"/>
      <c r="S101" s="2"/>
      <c r="T101" s="9"/>
      <c r="U101" s="9"/>
      <c r="V101" s="9"/>
      <c r="W101" s="9"/>
      <c r="X101" s="9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1"/>
      <c r="L102" s="2"/>
      <c r="M102" s="2"/>
      <c r="N102" s="2"/>
      <c r="O102" s="2"/>
      <c r="P102" s="2"/>
      <c r="Q102" s="2"/>
      <c r="R102" s="2"/>
      <c r="S102" s="2"/>
      <c r="T102" s="9"/>
      <c r="U102" s="9"/>
      <c r="V102" s="9"/>
      <c r="W102" s="9"/>
      <c r="X102" s="9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1"/>
      <c r="L103" s="2"/>
      <c r="M103" s="2"/>
      <c r="N103" s="2"/>
      <c r="O103" s="2"/>
      <c r="P103" s="2"/>
      <c r="Q103" s="2"/>
      <c r="R103" s="2"/>
      <c r="S103" s="2"/>
      <c r="T103" s="9"/>
      <c r="U103" s="9"/>
      <c r="V103" s="9"/>
      <c r="W103" s="9"/>
      <c r="X103" s="9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1"/>
      <c r="L104" s="2"/>
      <c r="M104" s="2"/>
      <c r="N104" s="2"/>
      <c r="O104" s="2"/>
      <c r="P104" s="2"/>
      <c r="Q104" s="2"/>
      <c r="R104" s="2"/>
      <c r="S104" s="2"/>
      <c r="T104" s="9"/>
      <c r="U104" s="9"/>
      <c r="V104" s="9"/>
      <c r="W104" s="9"/>
      <c r="X104" s="9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1"/>
      <c r="L105" s="2"/>
      <c r="M105" s="2"/>
      <c r="N105" s="2"/>
      <c r="O105" s="2"/>
      <c r="P105" s="2"/>
      <c r="Q105" s="2"/>
      <c r="R105" s="2"/>
      <c r="S105" s="2"/>
      <c r="T105" s="9"/>
      <c r="U105" s="9"/>
      <c r="V105" s="9"/>
      <c r="W105" s="9"/>
      <c r="X105" s="9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1"/>
      <c r="L106" s="2"/>
      <c r="M106" s="2"/>
      <c r="N106" s="2"/>
      <c r="O106" s="2"/>
      <c r="P106" s="2"/>
      <c r="Q106" s="2"/>
      <c r="R106" s="2"/>
      <c r="S106" s="2"/>
      <c r="T106" s="9"/>
      <c r="U106" s="9"/>
      <c r="V106" s="9"/>
      <c r="W106" s="9"/>
      <c r="X106" s="9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1"/>
      <c r="L107" s="2"/>
      <c r="M107" s="2"/>
      <c r="N107" s="2"/>
      <c r="O107" s="2"/>
      <c r="P107" s="2"/>
      <c r="Q107" s="2"/>
      <c r="R107" s="2"/>
      <c r="S107" s="2"/>
      <c r="T107" s="9"/>
      <c r="U107" s="9"/>
      <c r="V107" s="9"/>
      <c r="W107" s="9"/>
      <c r="X107" s="9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1"/>
      <c r="L108" s="2"/>
      <c r="M108" s="2"/>
      <c r="N108" s="2"/>
      <c r="O108" s="2"/>
      <c r="P108" s="2"/>
      <c r="Q108" s="2"/>
      <c r="R108" s="2"/>
      <c r="S108" s="2"/>
      <c r="T108" s="9"/>
      <c r="U108" s="9"/>
      <c r="V108" s="9"/>
      <c r="W108" s="9"/>
      <c r="X108" s="9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1"/>
      <c r="L109" s="2"/>
      <c r="M109" s="2"/>
      <c r="N109" s="2"/>
      <c r="O109" s="2"/>
      <c r="P109" s="2"/>
      <c r="Q109" s="2"/>
      <c r="R109" s="2"/>
      <c r="S109" s="2"/>
      <c r="T109" s="9"/>
      <c r="U109" s="9"/>
      <c r="V109" s="9"/>
      <c r="W109" s="9"/>
      <c r="X109" s="9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1"/>
      <c r="L110" s="2"/>
      <c r="M110" s="2"/>
      <c r="N110" s="2"/>
      <c r="O110" s="2"/>
      <c r="P110" s="2"/>
      <c r="Q110" s="2"/>
      <c r="R110" s="2"/>
      <c r="S110" s="2"/>
      <c r="T110" s="9"/>
      <c r="U110" s="9"/>
      <c r="V110" s="9"/>
      <c r="W110" s="9"/>
      <c r="X110" s="9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1"/>
      <c r="L111" s="2"/>
      <c r="M111" s="2"/>
      <c r="N111" s="2"/>
      <c r="O111" s="2"/>
      <c r="P111" s="2"/>
      <c r="Q111" s="2"/>
      <c r="R111" s="2"/>
      <c r="S111" s="2"/>
      <c r="T111" s="9"/>
      <c r="U111" s="9"/>
      <c r="V111" s="9"/>
      <c r="W111" s="9"/>
      <c r="X111" s="9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1"/>
      <c r="L112" s="2"/>
      <c r="M112" s="2"/>
      <c r="N112" s="2"/>
      <c r="O112" s="2"/>
      <c r="P112" s="2"/>
      <c r="Q112" s="2"/>
      <c r="R112" s="2"/>
      <c r="S112" s="2"/>
      <c r="T112" s="9"/>
      <c r="U112" s="9"/>
      <c r="V112" s="9"/>
      <c r="W112" s="9"/>
      <c r="X112" s="9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1"/>
      <c r="L113" s="2"/>
      <c r="M113" s="2"/>
      <c r="N113" s="2"/>
      <c r="O113" s="2"/>
      <c r="P113" s="2"/>
      <c r="Q113" s="2"/>
      <c r="R113" s="2"/>
      <c r="S113" s="2"/>
      <c r="T113" s="9"/>
      <c r="U113" s="9"/>
      <c r="V113" s="9"/>
      <c r="W113" s="9"/>
      <c r="X113" s="9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1"/>
      <c r="L114" s="2"/>
      <c r="M114" s="2"/>
      <c r="N114" s="2"/>
      <c r="O114" s="2"/>
      <c r="P114" s="2"/>
      <c r="Q114" s="2"/>
      <c r="R114" s="2"/>
      <c r="S114" s="2"/>
      <c r="T114" s="9"/>
      <c r="U114" s="9"/>
      <c r="V114" s="9"/>
      <c r="W114" s="9"/>
      <c r="X114" s="9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1"/>
      <c r="L115" s="2"/>
      <c r="M115" s="2"/>
      <c r="N115" s="2"/>
      <c r="O115" s="2"/>
      <c r="P115" s="2"/>
      <c r="Q115" s="2"/>
      <c r="R115" s="2"/>
      <c r="S115" s="2"/>
      <c r="T115" s="9"/>
      <c r="U115" s="9"/>
      <c r="V115" s="9"/>
      <c r="W115" s="9"/>
      <c r="X115" s="9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1"/>
      <c r="L116" s="2"/>
      <c r="M116" s="2"/>
      <c r="N116" s="2"/>
      <c r="O116" s="2"/>
      <c r="P116" s="2"/>
      <c r="Q116" s="2"/>
      <c r="R116" s="2"/>
      <c r="S116" s="2"/>
      <c r="T116" s="9"/>
      <c r="U116" s="9"/>
      <c r="V116" s="9"/>
      <c r="W116" s="9"/>
      <c r="X116" s="9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1"/>
      <c r="L117" s="2"/>
      <c r="M117" s="2"/>
      <c r="N117" s="2"/>
      <c r="O117" s="2"/>
      <c r="P117" s="2"/>
      <c r="Q117" s="2"/>
      <c r="R117" s="2"/>
      <c r="S117" s="2"/>
      <c r="T117" s="9"/>
      <c r="U117" s="9"/>
      <c r="V117" s="9"/>
      <c r="W117" s="9"/>
      <c r="X117" s="9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1"/>
      <c r="L118" s="2"/>
      <c r="M118" s="2"/>
      <c r="N118" s="2"/>
      <c r="O118" s="2"/>
      <c r="P118" s="2"/>
      <c r="Q118" s="2"/>
      <c r="R118" s="2"/>
      <c r="S118" s="2"/>
      <c r="T118" s="9"/>
      <c r="U118" s="9"/>
      <c r="V118" s="9"/>
      <c r="W118" s="9"/>
      <c r="X118" s="9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1"/>
      <c r="L119" s="2"/>
      <c r="M119" s="2"/>
      <c r="N119" s="2"/>
      <c r="O119" s="2"/>
      <c r="P119" s="2"/>
      <c r="Q119" s="2"/>
      <c r="R119" s="2"/>
      <c r="S119" s="2"/>
      <c r="T119" s="9"/>
      <c r="U119" s="9"/>
      <c r="V119" s="9"/>
      <c r="W119" s="9"/>
      <c r="X119" s="9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1"/>
      <c r="L120" s="2"/>
      <c r="M120" s="2"/>
      <c r="N120" s="2"/>
      <c r="O120" s="2"/>
      <c r="P120" s="2"/>
      <c r="Q120" s="2"/>
      <c r="R120" s="2"/>
      <c r="S120" s="2"/>
      <c r="T120" s="9"/>
      <c r="U120" s="9"/>
      <c r="V120" s="9"/>
      <c r="W120" s="9"/>
      <c r="X120" s="9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1"/>
      <c r="L121" s="2"/>
      <c r="M121" s="2"/>
      <c r="N121" s="2"/>
      <c r="O121" s="2"/>
      <c r="P121" s="2"/>
      <c r="Q121" s="2"/>
      <c r="R121" s="2"/>
      <c r="S121" s="2"/>
      <c r="T121" s="9"/>
      <c r="U121" s="9"/>
      <c r="V121" s="9"/>
      <c r="W121" s="9"/>
      <c r="X121" s="9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1"/>
      <c r="L122" s="2"/>
      <c r="M122" s="2"/>
      <c r="N122" s="2"/>
      <c r="O122" s="2"/>
      <c r="P122" s="2"/>
      <c r="Q122" s="2"/>
      <c r="R122" s="2"/>
      <c r="S122" s="2"/>
      <c r="T122" s="9"/>
      <c r="U122" s="9"/>
      <c r="V122" s="9"/>
      <c r="W122" s="9"/>
      <c r="X122" s="9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1"/>
      <c r="L123" s="2"/>
      <c r="M123" s="2"/>
      <c r="N123" s="2"/>
      <c r="O123" s="2"/>
      <c r="P123" s="2"/>
      <c r="Q123" s="2"/>
      <c r="R123" s="2"/>
      <c r="S123" s="2"/>
      <c r="T123" s="9"/>
      <c r="U123" s="9"/>
      <c r="V123" s="9"/>
      <c r="W123" s="9"/>
      <c r="X123" s="9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1"/>
      <c r="L124" s="2"/>
      <c r="M124" s="2"/>
      <c r="N124" s="2"/>
      <c r="O124" s="2"/>
      <c r="P124" s="2"/>
      <c r="Q124" s="2"/>
      <c r="R124" s="2"/>
      <c r="S124" s="2"/>
      <c r="T124" s="9"/>
      <c r="U124" s="9"/>
      <c r="V124" s="9"/>
      <c r="W124" s="9"/>
      <c r="X124" s="9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1"/>
      <c r="L125" s="2"/>
      <c r="M125" s="2"/>
      <c r="N125" s="2"/>
      <c r="O125" s="2"/>
      <c r="P125" s="2"/>
      <c r="Q125" s="2"/>
      <c r="R125" s="2"/>
      <c r="S125" s="2"/>
      <c r="T125" s="9"/>
      <c r="U125" s="9"/>
      <c r="V125" s="9"/>
      <c r="W125" s="9"/>
      <c r="X125" s="9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1"/>
      <c r="L126" s="2"/>
      <c r="M126" s="2"/>
      <c r="N126" s="2"/>
      <c r="O126" s="2"/>
      <c r="P126" s="2"/>
      <c r="Q126" s="2"/>
      <c r="R126" s="2"/>
      <c r="S126" s="2"/>
      <c r="T126" s="9"/>
      <c r="U126" s="9"/>
      <c r="V126" s="9"/>
      <c r="W126" s="9"/>
      <c r="X126" s="9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1"/>
      <c r="L127" s="2"/>
      <c r="M127" s="2"/>
      <c r="N127" s="2"/>
      <c r="O127" s="2"/>
      <c r="P127" s="2"/>
      <c r="Q127" s="2"/>
      <c r="R127" s="2"/>
      <c r="S127" s="2"/>
      <c r="T127" s="9"/>
      <c r="U127" s="9"/>
      <c r="V127" s="9"/>
      <c r="W127" s="9"/>
      <c r="X127" s="9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1"/>
      <c r="L128" s="2"/>
      <c r="M128" s="2"/>
      <c r="N128" s="2"/>
      <c r="O128" s="2"/>
      <c r="P128" s="2"/>
      <c r="Q128" s="2"/>
      <c r="R128" s="2"/>
      <c r="S128" s="2"/>
      <c r="T128" s="9"/>
      <c r="U128" s="9"/>
      <c r="V128" s="9"/>
      <c r="W128" s="9"/>
      <c r="X128" s="9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1"/>
      <c r="L129" s="2"/>
      <c r="M129" s="2"/>
      <c r="N129" s="2"/>
      <c r="O129" s="2"/>
      <c r="P129" s="2"/>
      <c r="Q129" s="2"/>
      <c r="R129" s="2"/>
      <c r="S129" s="2"/>
      <c r="T129" s="9"/>
      <c r="U129" s="9"/>
      <c r="V129" s="9"/>
      <c r="W129" s="9"/>
      <c r="X129" s="9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"/>
      <c r="L130" s="2"/>
      <c r="M130" s="2"/>
      <c r="N130" s="2"/>
      <c r="O130" s="2"/>
      <c r="P130" s="2"/>
      <c r="Q130" s="2"/>
      <c r="R130" s="2"/>
      <c r="S130" s="2"/>
      <c r="T130" s="9"/>
      <c r="U130" s="9"/>
      <c r="V130" s="9"/>
      <c r="W130" s="9"/>
      <c r="X130" s="9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"/>
      <c r="L131" s="2"/>
      <c r="M131" s="2"/>
      <c r="N131" s="2"/>
      <c r="O131" s="2"/>
      <c r="P131" s="2"/>
      <c r="Q131" s="2"/>
      <c r="R131" s="2"/>
      <c r="S131" s="2"/>
      <c r="T131" s="9"/>
      <c r="U131" s="9"/>
      <c r="V131" s="9"/>
      <c r="W131" s="9"/>
      <c r="X131" s="9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1"/>
      <c r="L132" s="2"/>
      <c r="M132" s="2"/>
      <c r="N132" s="2"/>
      <c r="O132" s="2"/>
      <c r="P132" s="2"/>
      <c r="Q132" s="2"/>
      <c r="R132" s="2"/>
      <c r="S132" s="2"/>
      <c r="T132" s="9"/>
      <c r="U132" s="9"/>
      <c r="V132" s="9"/>
      <c r="W132" s="9"/>
      <c r="X132" s="9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1"/>
      <c r="L133" s="2"/>
      <c r="M133" s="2"/>
      <c r="N133" s="2"/>
      <c r="O133" s="2"/>
      <c r="P133" s="2"/>
      <c r="Q133" s="2"/>
      <c r="R133" s="2"/>
      <c r="S133" s="2"/>
      <c r="T133" s="9"/>
      <c r="U133" s="9"/>
      <c r="V133" s="9"/>
      <c r="W133" s="9"/>
      <c r="X133" s="9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1"/>
      <c r="L134" s="2"/>
      <c r="M134" s="2"/>
      <c r="N134" s="2"/>
      <c r="O134" s="2"/>
      <c r="P134" s="2"/>
      <c r="Q134" s="2"/>
      <c r="R134" s="2"/>
      <c r="S134" s="2"/>
      <c r="T134" s="9"/>
      <c r="U134" s="9"/>
      <c r="V134" s="9"/>
      <c r="W134" s="9"/>
      <c r="X134" s="9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1"/>
      <c r="L135" s="2"/>
      <c r="M135" s="2"/>
      <c r="N135" s="2"/>
      <c r="O135" s="2"/>
      <c r="P135" s="2"/>
      <c r="Q135" s="2"/>
      <c r="R135" s="2"/>
      <c r="S135" s="2"/>
      <c r="T135" s="9"/>
      <c r="U135" s="9"/>
      <c r="V135" s="9"/>
      <c r="W135" s="9"/>
      <c r="X135" s="9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"/>
      <c r="L136" s="2"/>
      <c r="M136" s="2"/>
      <c r="N136" s="2"/>
      <c r="O136" s="2"/>
      <c r="P136" s="2"/>
      <c r="Q136" s="2"/>
      <c r="R136" s="2"/>
      <c r="S136" s="2"/>
      <c r="T136" s="9"/>
      <c r="U136" s="9"/>
      <c r="V136" s="9"/>
      <c r="W136" s="9"/>
      <c r="X136" s="9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"/>
      <c r="L137" s="2"/>
      <c r="M137" s="2"/>
      <c r="N137" s="2"/>
      <c r="O137" s="2"/>
      <c r="P137" s="2"/>
      <c r="Q137" s="2"/>
      <c r="R137" s="2"/>
      <c r="S137" s="2"/>
      <c r="T137" s="9"/>
      <c r="U137" s="9"/>
      <c r="V137" s="9"/>
      <c r="W137" s="9"/>
      <c r="X137" s="9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1"/>
      <c r="L138" s="2"/>
      <c r="M138" s="2"/>
      <c r="N138" s="2"/>
      <c r="O138" s="2"/>
      <c r="P138" s="2"/>
      <c r="Q138" s="2"/>
      <c r="R138" s="2"/>
      <c r="S138" s="2"/>
      <c r="T138" s="9"/>
      <c r="U138" s="9"/>
      <c r="V138" s="9"/>
      <c r="W138" s="9"/>
      <c r="X138" s="9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1"/>
      <c r="L139" s="2"/>
      <c r="M139" s="2"/>
      <c r="N139" s="2"/>
      <c r="O139" s="2"/>
      <c r="P139" s="2"/>
      <c r="Q139" s="2"/>
      <c r="R139" s="2"/>
      <c r="S139" s="2"/>
      <c r="T139" s="9"/>
      <c r="U139" s="9"/>
      <c r="V139" s="9"/>
      <c r="W139" s="9"/>
      <c r="X139" s="9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1"/>
      <c r="L140" s="2"/>
      <c r="M140" s="2"/>
      <c r="N140" s="2"/>
      <c r="O140" s="2"/>
      <c r="P140" s="2"/>
      <c r="Q140" s="2"/>
      <c r="R140" s="2"/>
      <c r="S140" s="2"/>
      <c r="T140" s="9"/>
      <c r="U140" s="9"/>
      <c r="V140" s="9"/>
      <c r="W140" s="9"/>
      <c r="X140" s="9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1"/>
      <c r="L141" s="2"/>
      <c r="M141" s="2"/>
      <c r="N141" s="2"/>
      <c r="O141" s="2"/>
      <c r="P141" s="2"/>
      <c r="Q141" s="2"/>
      <c r="R141" s="2"/>
      <c r="S141" s="2"/>
      <c r="T141" s="9"/>
      <c r="U141" s="9"/>
      <c r="V141" s="9"/>
      <c r="W141" s="9"/>
      <c r="X141" s="9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1"/>
      <c r="L142" s="2"/>
      <c r="M142" s="2"/>
      <c r="N142" s="2"/>
      <c r="O142" s="2"/>
      <c r="P142" s="2"/>
      <c r="Q142" s="2"/>
      <c r="R142" s="2"/>
      <c r="S142" s="2"/>
      <c r="T142" s="9"/>
      <c r="U142" s="9"/>
      <c r="V142" s="9"/>
      <c r="W142" s="9"/>
      <c r="X142" s="9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1"/>
      <c r="L143" s="2"/>
      <c r="M143" s="2"/>
      <c r="N143" s="2"/>
      <c r="O143" s="2"/>
      <c r="P143" s="2"/>
      <c r="Q143" s="2"/>
      <c r="R143" s="2"/>
      <c r="S143" s="2"/>
      <c r="T143" s="9"/>
      <c r="U143" s="9"/>
      <c r="V143" s="9"/>
      <c r="W143" s="9"/>
      <c r="X143" s="9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1"/>
      <c r="L144" s="2"/>
      <c r="M144" s="2"/>
      <c r="N144" s="2"/>
      <c r="O144" s="2"/>
      <c r="P144" s="2"/>
      <c r="Q144" s="2"/>
      <c r="R144" s="2"/>
      <c r="S144" s="2"/>
      <c r="T144" s="9"/>
      <c r="U144" s="9"/>
      <c r="V144" s="9"/>
      <c r="W144" s="9"/>
      <c r="X144" s="9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1"/>
      <c r="L145" s="2"/>
      <c r="M145" s="2"/>
      <c r="N145" s="2"/>
      <c r="O145" s="2"/>
      <c r="P145" s="2"/>
      <c r="Q145" s="2"/>
      <c r="R145" s="2"/>
      <c r="S145" s="2"/>
      <c r="T145" s="9"/>
      <c r="U145" s="9"/>
      <c r="V145" s="9"/>
      <c r="W145" s="9"/>
      <c r="X145" s="9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1"/>
      <c r="L146" s="2"/>
      <c r="M146" s="2"/>
      <c r="N146" s="2"/>
      <c r="O146" s="2"/>
      <c r="P146" s="2"/>
      <c r="Q146" s="2"/>
      <c r="R146" s="2"/>
      <c r="S146" s="2"/>
      <c r="T146" s="9"/>
      <c r="U146" s="9"/>
      <c r="V146" s="9"/>
      <c r="W146" s="9"/>
      <c r="X146" s="9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1"/>
      <c r="L147" s="2"/>
      <c r="M147" s="2"/>
      <c r="N147" s="2"/>
      <c r="O147" s="2"/>
      <c r="P147" s="2"/>
      <c r="Q147" s="2"/>
      <c r="R147" s="2"/>
      <c r="S147" s="2"/>
      <c r="T147" s="9"/>
      <c r="U147" s="9"/>
      <c r="V147" s="9"/>
      <c r="W147" s="9"/>
      <c r="X147" s="9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1"/>
      <c r="L148" s="2"/>
      <c r="M148" s="2"/>
      <c r="N148" s="2"/>
      <c r="O148" s="2"/>
      <c r="P148" s="2"/>
      <c r="Q148" s="2"/>
      <c r="R148" s="2"/>
      <c r="S148" s="2"/>
      <c r="T148" s="9"/>
      <c r="U148" s="9"/>
      <c r="V148" s="9"/>
      <c r="W148" s="9"/>
      <c r="X148" s="9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1"/>
      <c r="L149" s="2"/>
      <c r="M149" s="2"/>
      <c r="N149" s="2"/>
      <c r="O149" s="2"/>
      <c r="P149" s="2"/>
      <c r="Q149" s="2"/>
      <c r="R149" s="2"/>
      <c r="S149" s="2"/>
      <c r="T149" s="9"/>
      <c r="U149" s="9"/>
      <c r="V149" s="9"/>
      <c r="W149" s="9"/>
      <c r="X149" s="9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1"/>
      <c r="L150" s="2"/>
      <c r="M150" s="2"/>
      <c r="N150" s="2"/>
      <c r="O150" s="2"/>
      <c r="P150" s="2"/>
      <c r="Q150" s="2"/>
      <c r="R150" s="2"/>
      <c r="S150" s="2"/>
      <c r="T150" s="9"/>
      <c r="U150" s="9"/>
      <c r="V150" s="9"/>
      <c r="W150" s="9"/>
      <c r="X150" s="9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1"/>
      <c r="L151" s="2"/>
      <c r="M151" s="2"/>
      <c r="N151" s="2"/>
      <c r="O151" s="2"/>
      <c r="P151" s="2"/>
      <c r="Q151" s="2"/>
      <c r="R151" s="2"/>
      <c r="S151" s="2"/>
      <c r="T151" s="9"/>
      <c r="U151" s="9"/>
      <c r="V151" s="9"/>
      <c r="W151" s="9"/>
      <c r="X151" s="9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1"/>
      <c r="L152" s="2"/>
      <c r="M152" s="2"/>
      <c r="N152" s="2"/>
      <c r="O152" s="2"/>
      <c r="P152" s="2"/>
      <c r="Q152" s="2"/>
      <c r="R152" s="2"/>
      <c r="S152" s="2"/>
      <c r="T152" s="9"/>
      <c r="U152" s="9"/>
      <c r="V152" s="9"/>
      <c r="W152" s="9"/>
      <c r="X152" s="9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1"/>
      <c r="L153" s="2"/>
      <c r="M153" s="2"/>
      <c r="N153" s="2"/>
      <c r="O153" s="2"/>
      <c r="P153" s="2"/>
      <c r="Q153" s="2"/>
      <c r="R153" s="2"/>
      <c r="S153" s="2"/>
      <c r="T153" s="9"/>
      <c r="U153" s="9"/>
      <c r="V153" s="9"/>
      <c r="W153" s="9"/>
      <c r="X153" s="9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1"/>
      <c r="L154" s="2"/>
      <c r="M154" s="2"/>
      <c r="N154" s="2"/>
      <c r="O154" s="2"/>
      <c r="P154" s="2"/>
      <c r="Q154" s="2"/>
      <c r="R154" s="2"/>
      <c r="S154" s="2"/>
      <c r="T154" s="9"/>
      <c r="U154" s="9"/>
      <c r="V154" s="9"/>
      <c r="W154" s="9"/>
      <c r="X154" s="9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1"/>
      <c r="L155" s="2"/>
      <c r="M155" s="2"/>
      <c r="N155" s="2"/>
      <c r="O155" s="2"/>
      <c r="P155" s="2"/>
      <c r="Q155" s="2"/>
      <c r="R155" s="2"/>
      <c r="S155" s="2"/>
      <c r="T155" s="9"/>
      <c r="U155" s="9"/>
      <c r="V155" s="9"/>
      <c r="W155" s="9"/>
      <c r="X155" s="9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1"/>
      <c r="L156" s="2"/>
      <c r="M156" s="2"/>
      <c r="N156" s="2"/>
      <c r="O156" s="2"/>
      <c r="P156" s="2"/>
      <c r="Q156" s="2"/>
      <c r="R156" s="2"/>
      <c r="S156" s="2"/>
      <c r="T156" s="9"/>
      <c r="U156" s="9"/>
      <c r="V156" s="9"/>
      <c r="W156" s="9"/>
      <c r="X156" s="9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1"/>
      <c r="L157" s="2"/>
      <c r="M157" s="2"/>
      <c r="N157" s="2"/>
      <c r="O157" s="2"/>
      <c r="P157" s="2"/>
      <c r="Q157" s="2"/>
      <c r="R157" s="2"/>
      <c r="S157" s="2"/>
      <c r="T157" s="9"/>
      <c r="U157" s="9"/>
      <c r="V157" s="9"/>
      <c r="W157" s="9"/>
      <c r="X157" s="9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1"/>
      <c r="L158" s="2"/>
      <c r="M158" s="2"/>
      <c r="N158" s="2"/>
      <c r="O158" s="2"/>
      <c r="P158" s="2"/>
      <c r="Q158" s="2"/>
      <c r="R158" s="2"/>
      <c r="S158" s="2"/>
      <c r="T158" s="9"/>
      <c r="U158" s="9"/>
      <c r="V158" s="9"/>
      <c r="W158" s="9"/>
      <c r="X158" s="9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1"/>
      <c r="L159" s="2"/>
      <c r="M159" s="2"/>
      <c r="N159" s="2"/>
      <c r="O159" s="2"/>
      <c r="P159" s="2"/>
      <c r="Q159" s="2"/>
      <c r="R159" s="2"/>
      <c r="S159" s="2"/>
      <c r="T159" s="9"/>
      <c r="U159" s="9"/>
      <c r="V159" s="9"/>
      <c r="W159" s="9"/>
      <c r="X159" s="9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1"/>
      <c r="L160" s="2"/>
      <c r="M160" s="2"/>
      <c r="N160" s="2"/>
      <c r="O160" s="2"/>
      <c r="P160" s="2"/>
      <c r="Q160" s="2"/>
      <c r="R160" s="2"/>
      <c r="S160" s="2"/>
      <c r="T160" s="9"/>
      <c r="U160" s="9"/>
      <c r="V160" s="9"/>
      <c r="W160" s="9"/>
      <c r="X160" s="9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1"/>
      <c r="L161" s="2"/>
      <c r="M161" s="2"/>
      <c r="N161" s="2"/>
      <c r="O161" s="2"/>
      <c r="P161" s="2"/>
      <c r="Q161" s="2"/>
      <c r="R161" s="2"/>
      <c r="S161" s="2"/>
      <c r="T161" s="9"/>
      <c r="U161" s="9"/>
      <c r="V161" s="9"/>
      <c r="W161" s="9"/>
      <c r="X161" s="9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1"/>
      <c r="L162" s="2"/>
      <c r="M162" s="2"/>
      <c r="N162" s="2"/>
      <c r="O162" s="2"/>
      <c r="P162" s="2"/>
      <c r="Q162" s="2"/>
      <c r="R162" s="2"/>
      <c r="S162" s="2"/>
      <c r="T162" s="9"/>
      <c r="U162" s="9"/>
      <c r="V162" s="9"/>
      <c r="W162" s="9"/>
      <c r="X162" s="9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1"/>
      <c r="L163" s="2"/>
      <c r="M163" s="2"/>
      <c r="N163" s="2"/>
      <c r="O163" s="2"/>
      <c r="P163" s="2"/>
      <c r="Q163" s="2"/>
      <c r="R163" s="2"/>
      <c r="S163" s="2"/>
      <c r="T163" s="9"/>
      <c r="U163" s="9"/>
      <c r="V163" s="9"/>
      <c r="W163" s="9"/>
      <c r="X163" s="9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1"/>
      <c r="L164" s="2"/>
      <c r="M164" s="2"/>
      <c r="N164" s="2"/>
      <c r="O164" s="2"/>
      <c r="P164" s="2"/>
      <c r="Q164" s="2"/>
      <c r="R164" s="2"/>
      <c r="S164" s="2"/>
      <c r="T164" s="9"/>
      <c r="U164" s="9"/>
      <c r="V164" s="9"/>
      <c r="W164" s="9"/>
      <c r="X164" s="9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1"/>
      <c r="L165" s="2"/>
      <c r="M165" s="2"/>
      <c r="N165" s="2"/>
      <c r="O165" s="2"/>
      <c r="P165" s="2"/>
      <c r="Q165" s="2"/>
      <c r="R165" s="2"/>
      <c r="S165" s="2"/>
      <c r="T165" s="9"/>
      <c r="U165" s="9"/>
      <c r="V165" s="9"/>
      <c r="W165" s="9"/>
      <c r="X165" s="9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1"/>
      <c r="L166" s="2"/>
      <c r="M166" s="2"/>
      <c r="N166" s="2"/>
      <c r="O166" s="2"/>
      <c r="P166" s="2"/>
      <c r="Q166" s="2"/>
      <c r="R166" s="2"/>
      <c r="S166" s="2"/>
      <c r="T166" s="9"/>
      <c r="U166" s="9"/>
      <c r="V166" s="9"/>
      <c r="W166" s="9"/>
      <c r="X166" s="9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1"/>
      <c r="L167" s="2"/>
      <c r="M167" s="2"/>
      <c r="N167" s="2"/>
      <c r="O167" s="2"/>
      <c r="P167" s="2"/>
      <c r="Q167" s="2"/>
      <c r="R167" s="2"/>
      <c r="S167" s="2"/>
      <c r="T167" s="9"/>
      <c r="U167" s="9"/>
      <c r="V167" s="9"/>
      <c r="W167" s="9"/>
      <c r="X167" s="9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1"/>
      <c r="L168" s="2"/>
      <c r="M168" s="2"/>
      <c r="N168" s="2"/>
      <c r="O168" s="2"/>
      <c r="P168" s="2"/>
      <c r="Q168" s="2"/>
      <c r="R168" s="2"/>
      <c r="S168" s="2"/>
      <c r="T168" s="9"/>
      <c r="U168" s="9"/>
      <c r="V168" s="9"/>
      <c r="W168" s="9"/>
      <c r="X168" s="9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1"/>
      <c r="L169" s="2"/>
      <c r="M169" s="2"/>
      <c r="N169" s="2"/>
      <c r="O169" s="2"/>
      <c r="P169" s="2"/>
      <c r="Q169" s="2"/>
      <c r="R169" s="2"/>
      <c r="S169" s="2"/>
      <c r="T169" s="9"/>
      <c r="U169" s="9"/>
      <c r="V169" s="9"/>
      <c r="W169" s="9"/>
      <c r="X169" s="9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1"/>
      <c r="L170" s="2"/>
      <c r="M170" s="2"/>
      <c r="N170" s="2"/>
      <c r="O170" s="2"/>
      <c r="P170" s="2"/>
      <c r="Q170" s="2"/>
      <c r="R170" s="2"/>
      <c r="S170" s="2"/>
      <c r="T170" s="9"/>
      <c r="U170" s="9"/>
      <c r="V170" s="9"/>
      <c r="W170" s="9"/>
      <c r="X170" s="9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1"/>
      <c r="L171" s="2"/>
      <c r="M171" s="2"/>
      <c r="N171" s="2"/>
      <c r="O171" s="2"/>
      <c r="P171" s="2"/>
      <c r="Q171" s="2"/>
      <c r="R171" s="2"/>
      <c r="S171" s="2"/>
      <c r="T171" s="9"/>
      <c r="U171" s="9"/>
      <c r="V171" s="9"/>
      <c r="W171" s="9"/>
      <c r="X171" s="9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1"/>
      <c r="L172" s="2"/>
      <c r="M172" s="2"/>
      <c r="N172" s="2"/>
      <c r="O172" s="2"/>
      <c r="P172" s="2"/>
      <c r="Q172" s="2"/>
      <c r="R172" s="2"/>
      <c r="S172" s="2"/>
      <c r="T172" s="9"/>
      <c r="U172" s="9"/>
      <c r="V172" s="9"/>
      <c r="W172" s="9"/>
      <c r="X172" s="9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1"/>
      <c r="L173" s="2"/>
      <c r="M173" s="2"/>
      <c r="N173" s="2"/>
      <c r="O173" s="2"/>
      <c r="P173" s="2"/>
      <c r="Q173" s="2"/>
      <c r="R173" s="2"/>
      <c r="S173" s="2"/>
      <c r="T173" s="9"/>
      <c r="U173" s="9"/>
      <c r="V173" s="9"/>
      <c r="W173" s="9"/>
      <c r="X173" s="9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1"/>
      <c r="L174" s="2"/>
      <c r="M174" s="2"/>
      <c r="N174" s="2"/>
      <c r="O174" s="2"/>
      <c r="P174" s="2"/>
      <c r="Q174" s="2"/>
      <c r="R174" s="2"/>
      <c r="S174" s="2"/>
      <c r="T174" s="9"/>
      <c r="U174" s="9"/>
      <c r="V174" s="9"/>
      <c r="W174" s="9"/>
      <c r="X174" s="9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1"/>
      <c r="L175" s="2"/>
      <c r="M175" s="2"/>
      <c r="N175" s="2"/>
      <c r="O175" s="2"/>
      <c r="P175" s="2"/>
      <c r="Q175" s="2"/>
      <c r="R175" s="2"/>
      <c r="S175" s="2"/>
      <c r="T175" s="9"/>
      <c r="U175" s="9"/>
      <c r="V175" s="9"/>
      <c r="W175" s="9"/>
      <c r="X175" s="9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1"/>
      <c r="L176" s="2"/>
      <c r="M176" s="2"/>
      <c r="N176" s="2"/>
      <c r="O176" s="2"/>
      <c r="P176" s="2"/>
      <c r="Q176" s="2"/>
      <c r="R176" s="2"/>
      <c r="S176" s="2"/>
      <c r="T176" s="9"/>
      <c r="U176" s="9"/>
      <c r="V176" s="9"/>
      <c r="W176" s="9"/>
      <c r="X176" s="9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1"/>
      <c r="L177" s="2"/>
      <c r="M177" s="2"/>
      <c r="N177" s="2"/>
      <c r="O177" s="2"/>
      <c r="P177" s="2"/>
      <c r="Q177" s="2"/>
      <c r="R177" s="2"/>
      <c r="S177" s="2"/>
      <c r="T177" s="9"/>
      <c r="U177" s="9"/>
      <c r="V177" s="9"/>
      <c r="W177" s="9"/>
      <c r="X177" s="9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1"/>
      <c r="L178" s="2"/>
      <c r="M178" s="2"/>
      <c r="N178" s="2"/>
      <c r="O178" s="2"/>
      <c r="P178" s="2"/>
      <c r="Q178" s="2"/>
      <c r="R178" s="2"/>
      <c r="S178" s="2"/>
      <c r="T178" s="9"/>
      <c r="U178" s="9"/>
      <c r="V178" s="9"/>
      <c r="W178" s="9"/>
      <c r="X178" s="9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1"/>
      <c r="L179" s="2"/>
      <c r="M179" s="2"/>
      <c r="N179" s="2"/>
      <c r="O179" s="2"/>
      <c r="P179" s="2"/>
      <c r="Q179" s="2"/>
      <c r="R179" s="2"/>
      <c r="S179" s="2"/>
      <c r="T179" s="9"/>
      <c r="U179" s="9"/>
      <c r="V179" s="9"/>
      <c r="W179" s="9"/>
      <c r="X179" s="9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1"/>
      <c r="L180" s="2"/>
      <c r="M180" s="2"/>
      <c r="N180" s="2"/>
      <c r="O180" s="2"/>
      <c r="P180" s="2"/>
      <c r="Q180" s="2"/>
      <c r="R180" s="2"/>
      <c r="S180" s="2"/>
      <c r="T180" s="9"/>
      <c r="U180" s="9"/>
      <c r="V180" s="9"/>
      <c r="W180" s="9"/>
      <c r="X180" s="9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1"/>
      <c r="L181" s="2"/>
      <c r="M181" s="2"/>
      <c r="N181" s="2"/>
      <c r="O181" s="2"/>
      <c r="P181" s="2"/>
      <c r="Q181" s="2"/>
      <c r="R181" s="2"/>
      <c r="S181" s="2"/>
      <c r="T181" s="9"/>
      <c r="U181" s="9"/>
      <c r="V181" s="9"/>
      <c r="W181" s="9"/>
      <c r="X181" s="9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1"/>
      <c r="L182" s="2"/>
      <c r="M182" s="2"/>
      <c r="N182" s="2"/>
      <c r="O182" s="2"/>
      <c r="P182" s="2"/>
      <c r="Q182" s="2"/>
      <c r="R182" s="2"/>
      <c r="S182" s="2"/>
      <c r="T182" s="9"/>
      <c r="U182" s="9"/>
      <c r="V182" s="9"/>
      <c r="W182" s="9"/>
      <c r="X182" s="9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1"/>
      <c r="L183" s="2"/>
      <c r="M183" s="2"/>
      <c r="N183" s="2"/>
      <c r="O183" s="2"/>
      <c r="P183" s="2"/>
      <c r="Q183" s="2"/>
      <c r="R183" s="2"/>
      <c r="S183" s="2"/>
      <c r="T183" s="9"/>
      <c r="U183" s="9"/>
      <c r="V183" s="9"/>
      <c r="W183" s="9"/>
      <c r="X183" s="9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1"/>
      <c r="L184" s="2"/>
      <c r="M184" s="2"/>
      <c r="N184" s="2"/>
      <c r="O184" s="2"/>
      <c r="P184" s="2"/>
      <c r="Q184" s="2"/>
      <c r="R184" s="2"/>
      <c r="S184" s="2"/>
      <c r="T184" s="9"/>
      <c r="U184" s="9"/>
      <c r="V184" s="9"/>
      <c r="W184" s="9"/>
      <c r="X184" s="9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1"/>
      <c r="L185" s="2"/>
      <c r="M185" s="2"/>
      <c r="N185" s="2"/>
      <c r="O185" s="2"/>
      <c r="P185" s="2"/>
      <c r="Q185" s="2"/>
      <c r="R185" s="2"/>
      <c r="S185" s="2"/>
      <c r="T185" s="9"/>
      <c r="U185" s="9"/>
      <c r="V185" s="9"/>
      <c r="W185" s="9"/>
      <c r="X185" s="9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1"/>
      <c r="L186" s="2"/>
      <c r="M186" s="2"/>
      <c r="N186" s="2"/>
      <c r="O186" s="2"/>
      <c r="P186" s="2"/>
      <c r="Q186" s="2"/>
      <c r="R186" s="2"/>
      <c r="S186" s="2"/>
      <c r="T186" s="9"/>
      <c r="U186" s="9"/>
      <c r="V186" s="9"/>
      <c r="W186" s="9"/>
      <c r="X186" s="9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1"/>
      <c r="L187" s="2"/>
      <c r="M187" s="2"/>
      <c r="N187" s="2"/>
      <c r="O187" s="2"/>
      <c r="P187" s="2"/>
      <c r="Q187" s="2"/>
      <c r="R187" s="2"/>
      <c r="S187" s="2"/>
      <c r="T187" s="9"/>
      <c r="U187" s="9"/>
      <c r="V187" s="9"/>
      <c r="W187" s="9"/>
      <c r="X187" s="9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1"/>
      <c r="L188" s="2"/>
      <c r="M188" s="2"/>
      <c r="N188" s="2"/>
      <c r="O188" s="2"/>
      <c r="P188" s="2"/>
      <c r="Q188" s="2"/>
      <c r="R188" s="2"/>
      <c r="S188" s="2"/>
      <c r="T188" s="9"/>
      <c r="U188" s="9"/>
      <c r="V188" s="9"/>
      <c r="W188" s="9"/>
      <c r="X188" s="9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1"/>
      <c r="L189" s="2"/>
      <c r="M189" s="2"/>
      <c r="N189" s="2"/>
      <c r="O189" s="2"/>
      <c r="P189" s="2"/>
      <c r="Q189" s="2"/>
      <c r="R189" s="2"/>
      <c r="S189" s="2"/>
      <c r="T189" s="9"/>
      <c r="U189" s="9"/>
      <c r="V189" s="9"/>
      <c r="W189" s="9"/>
      <c r="X189" s="9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1"/>
      <c r="L190" s="2"/>
      <c r="M190" s="2"/>
      <c r="N190" s="2"/>
      <c r="O190" s="2"/>
      <c r="P190" s="2"/>
      <c r="Q190" s="2"/>
      <c r="R190" s="2"/>
      <c r="S190" s="2"/>
      <c r="T190" s="9"/>
      <c r="U190" s="9"/>
      <c r="V190" s="9"/>
      <c r="W190" s="9"/>
      <c r="X190" s="9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1"/>
      <c r="L191" s="2"/>
      <c r="M191" s="2"/>
      <c r="N191" s="2"/>
      <c r="O191" s="2"/>
      <c r="P191" s="2"/>
      <c r="Q191" s="2"/>
      <c r="R191" s="2"/>
      <c r="S191" s="2"/>
      <c r="T191" s="9"/>
      <c r="U191" s="9"/>
      <c r="V191" s="9"/>
      <c r="W191" s="9"/>
      <c r="X191" s="9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1"/>
      <c r="L192" s="2"/>
      <c r="M192" s="2"/>
      <c r="N192" s="2"/>
      <c r="O192" s="2"/>
      <c r="P192" s="2"/>
      <c r="Q192" s="2"/>
      <c r="R192" s="2"/>
      <c r="S192" s="2"/>
      <c r="T192" s="9"/>
      <c r="U192" s="9"/>
      <c r="V192" s="9"/>
      <c r="W192" s="9"/>
      <c r="X192" s="9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1"/>
      <c r="L193" s="2"/>
      <c r="M193" s="2"/>
      <c r="N193" s="2"/>
      <c r="O193" s="2"/>
      <c r="P193" s="2"/>
      <c r="Q193" s="2"/>
      <c r="R193" s="2"/>
      <c r="S193" s="2"/>
      <c r="T193" s="9"/>
      <c r="U193" s="9"/>
      <c r="V193" s="9"/>
      <c r="W193" s="9"/>
      <c r="X193" s="9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1"/>
      <c r="L194" s="2"/>
      <c r="M194" s="2"/>
      <c r="N194" s="2"/>
      <c r="O194" s="2"/>
      <c r="P194" s="2"/>
      <c r="Q194" s="2"/>
      <c r="R194" s="2"/>
      <c r="S194" s="2"/>
      <c r="T194" s="9"/>
      <c r="U194" s="9"/>
      <c r="V194" s="9"/>
      <c r="W194" s="9"/>
      <c r="X194" s="9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1"/>
      <c r="L195" s="2"/>
      <c r="M195" s="2"/>
      <c r="N195" s="2"/>
      <c r="O195" s="2"/>
      <c r="P195" s="2"/>
      <c r="Q195" s="2"/>
      <c r="R195" s="2"/>
      <c r="S195" s="2"/>
      <c r="T195" s="9"/>
      <c r="U195" s="9"/>
      <c r="V195" s="9"/>
      <c r="W195" s="9"/>
      <c r="X195" s="9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1"/>
      <c r="L196" s="2"/>
      <c r="M196" s="2"/>
      <c r="N196" s="2"/>
      <c r="O196" s="2"/>
      <c r="P196" s="2"/>
      <c r="Q196" s="2"/>
      <c r="R196" s="2"/>
      <c r="S196" s="2"/>
      <c r="T196" s="9"/>
      <c r="U196" s="9"/>
      <c r="V196" s="9"/>
      <c r="W196" s="9"/>
      <c r="X196" s="9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1"/>
      <c r="L197" s="2"/>
      <c r="M197" s="2"/>
      <c r="N197" s="2"/>
      <c r="O197" s="2"/>
      <c r="P197" s="2"/>
      <c r="Q197" s="2"/>
      <c r="R197" s="2"/>
      <c r="S197" s="2"/>
      <c r="T197" s="9"/>
      <c r="U197" s="9"/>
      <c r="V197" s="9"/>
      <c r="W197" s="9"/>
      <c r="X197" s="9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1"/>
      <c r="L198" s="2"/>
      <c r="M198" s="2"/>
      <c r="N198" s="2"/>
      <c r="O198" s="2"/>
      <c r="P198" s="2"/>
      <c r="Q198" s="2"/>
      <c r="R198" s="2"/>
      <c r="S198" s="2"/>
      <c r="T198" s="9"/>
      <c r="U198" s="9"/>
      <c r="V198" s="9"/>
      <c r="W198" s="9"/>
      <c r="X198" s="9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1"/>
      <c r="L199" s="2"/>
      <c r="M199" s="2"/>
      <c r="N199" s="2"/>
      <c r="O199" s="2"/>
      <c r="P199" s="2"/>
      <c r="Q199" s="2"/>
      <c r="R199" s="2"/>
      <c r="S199" s="2"/>
      <c r="T199" s="9"/>
      <c r="U199" s="9"/>
      <c r="V199" s="9"/>
      <c r="W199" s="9"/>
      <c r="X199" s="9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1"/>
      <c r="L200" s="2"/>
      <c r="M200" s="2"/>
      <c r="N200" s="2"/>
      <c r="O200" s="2"/>
      <c r="P200" s="2"/>
      <c r="Q200" s="2"/>
      <c r="R200" s="2"/>
      <c r="S200" s="2"/>
      <c r="T200" s="9"/>
      <c r="U200" s="9"/>
      <c r="V200" s="9"/>
      <c r="W200" s="9"/>
      <c r="X200" s="9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1"/>
      <c r="L201" s="2"/>
      <c r="M201" s="2"/>
      <c r="N201" s="2"/>
      <c r="O201" s="2"/>
      <c r="P201" s="2"/>
      <c r="Q201" s="2"/>
      <c r="R201" s="2"/>
      <c r="S201" s="2"/>
      <c r="T201" s="9"/>
      <c r="U201" s="9"/>
      <c r="V201" s="9"/>
      <c r="W201" s="9"/>
      <c r="X201" s="9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1"/>
      <c r="L202" s="2"/>
      <c r="M202" s="2"/>
      <c r="N202" s="2"/>
      <c r="O202" s="2"/>
      <c r="P202" s="2"/>
      <c r="Q202" s="2"/>
      <c r="R202" s="2"/>
      <c r="S202" s="2"/>
      <c r="T202" s="9"/>
      <c r="U202" s="9"/>
      <c r="V202" s="9"/>
      <c r="W202" s="9"/>
      <c r="X202" s="9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1"/>
      <c r="L203" s="2"/>
      <c r="M203" s="2"/>
      <c r="N203" s="2"/>
      <c r="O203" s="2"/>
      <c r="P203" s="2"/>
      <c r="Q203" s="2"/>
      <c r="R203" s="2"/>
      <c r="S203" s="2"/>
      <c r="T203" s="9"/>
      <c r="U203" s="9"/>
      <c r="V203" s="9"/>
      <c r="W203" s="9"/>
      <c r="X203" s="9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1"/>
      <c r="L204" s="2"/>
      <c r="M204" s="2"/>
      <c r="N204" s="2"/>
      <c r="O204" s="2"/>
      <c r="P204" s="2"/>
      <c r="Q204" s="2"/>
      <c r="R204" s="2"/>
      <c r="S204" s="2"/>
      <c r="T204" s="9"/>
      <c r="U204" s="9"/>
      <c r="V204" s="9"/>
      <c r="W204" s="9"/>
      <c r="X204" s="9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1"/>
      <c r="L205" s="2"/>
      <c r="M205" s="2"/>
      <c r="N205" s="2"/>
      <c r="O205" s="2"/>
      <c r="P205" s="2"/>
      <c r="Q205" s="2"/>
      <c r="R205" s="2"/>
      <c r="S205" s="2"/>
      <c r="T205" s="9"/>
      <c r="U205" s="9"/>
      <c r="V205" s="9"/>
      <c r="W205" s="9"/>
      <c r="X205" s="9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1"/>
      <c r="L206" s="2"/>
      <c r="M206" s="2"/>
      <c r="N206" s="2"/>
      <c r="O206" s="2"/>
      <c r="P206" s="2"/>
      <c r="Q206" s="2"/>
      <c r="R206" s="2"/>
      <c r="S206" s="2"/>
      <c r="T206" s="9"/>
      <c r="U206" s="9"/>
      <c r="V206" s="9"/>
      <c r="W206" s="9"/>
      <c r="X206" s="9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1"/>
      <c r="L207" s="2"/>
      <c r="M207" s="2"/>
      <c r="N207" s="2"/>
      <c r="O207" s="2"/>
      <c r="P207" s="2"/>
      <c r="Q207" s="2"/>
      <c r="R207" s="2"/>
      <c r="S207" s="2"/>
      <c r="T207" s="9"/>
      <c r="U207" s="9"/>
      <c r="V207" s="9"/>
      <c r="W207" s="9"/>
      <c r="X207" s="9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1"/>
      <c r="L208" s="2"/>
      <c r="M208" s="2"/>
      <c r="N208" s="2"/>
      <c r="O208" s="2"/>
      <c r="P208" s="2"/>
      <c r="Q208" s="2"/>
      <c r="R208" s="2"/>
      <c r="S208" s="2"/>
      <c r="T208" s="9"/>
      <c r="U208" s="9"/>
      <c r="V208" s="9"/>
      <c r="W208" s="9"/>
      <c r="X208" s="9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1"/>
      <c r="L209" s="2"/>
      <c r="M209" s="2"/>
      <c r="N209" s="2"/>
      <c r="O209" s="2"/>
      <c r="P209" s="2"/>
      <c r="Q209" s="2"/>
      <c r="R209" s="2"/>
      <c r="S209" s="2"/>
      <c r="T209" s="9"/>
      <c r="U209" s="9"/>
      <c r="V209" s="9"/>
      <c r="W209" s="9"/>
      <c r="X209" s="9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1"/>
      <c r="L210" s="2"/>
      <c r="M210" s="2"/>
      <c r="N210" s="2"/>
      <c r="O210" s="2"/>
      <c r="P210" s="2"/>
      <c r="Q210" s="2"/>
      <c r="R210" s="2"/>
      <c r="S210" s="2"/>
      <c r="T210" s="9"/>
      <c r="U210" s="9"/>
      <c r="V210" s="9"/>
      <c r="W210" s="9"/>
      <c r="X210" s="9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1"/>
      <c r="L211" s="2"/>
      <c r="M211" s="2"/>
      <c r="N211" s="2"/>
      <c r="O211" s="2"/>
      <c r="P211" s="2"/>
      <c r="Q211" s="2"/>
      <c r="R211" s="2"/>
      <c r="S211" s="2"/>
      <c r="T211" s="9"/>
      <c r="U211" s="9"/>
      <c r="V211" s="9"/>
      <c r="W211" s="9"/>
      <c r="X211" s="9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1"/>
      <c r="L212" s="2"/>
      <c r="M212" s="2"/>
      <c r="N212" s="2"/>
      <c r="O212" s="2"/>
      <c r="P212" s="2"/>
      <c r="Q212" s="2"/>
      <c r="R212" s="2"/>
      <c r="S212" s="2"/>
      <c r="T212" s="9"/>
      <c r="U212" s="9"/>
      <c r="V212" s="9"/>
      <c r="W212" s="9"/>
      <c r="X212" s="9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1"/>
      <c r="L213" s="2"/>
      <c r="M213" s="2"/>
      <c r="N213" s="2"/>
      <c r="O213" s="2"/>
      <c r="P213" s="2"/>
      <c r="Q213" s="2"/>
      <c r="R213" s="2"/>
      <c r="S213" s="2"/>
      <c r="T213" s="9"/>
      <c r="U213" s="9"/>
      <c r="V213" s="9"/>
      <c r="W213" s="9"/>
      <c r="X213" s="9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1"/>
      <c r="L214" s="2"/>
      <c r="M214" s="2"/>
      <c r="N214" s="2"/>
      <c r="O214" s="2"/>
      <c r="P214" s="2"/>
      <c r="Q214" s="2"/>
      <c r="R214" s="2"/>
      <c r="S214" s="2"/>
      <c r="T214" s="9"/>
      <c r="U214" s="9"/>
      <c r="V214" s="9"/>
      <c r="W214" s="9"/>
      <c r="X214" s="9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1"/>
      <c r="L215" s="2"/>
      <c r="M215" s="2"/>
      <c r="N215" s="2"/>
      <c r="O215" s="2"/>
      <c r="P215" s="2"/>
      <c r="Q215" s="2"/>
      <c r="R215" s="2"/>
      <c r="S215" s="2"/>
      <c r="T215" s="9"/>
      <c r="U215" s="9"/>
      <c r="V215" s="9"/>
      <c r="W215" s="9"/>
      <c r="X215" s="9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1"/>
      <c r="L216" s="2"/>
      <c r="M216" s="2"/>
      <c r="N216" s="2"/>
      <c r="O216" s="2"/>
      <c r="P216" s="2"/>
      <c r="Q216" s="2"/>
      <c r="R216" s="2"/>
      <c r="S216" s="2"/>
      <c r="T216" s="9"/>
      <c r="U216" s="9"/>
      <c r="V216" s="9"/>
      <c r="W216" s="9"/>
      <c r="X216" s="9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1"/>
      <c r="L217" s="2"/>
      <c r="M217" s="2"/>
      <c r="N217" s="2"/>
      <c r="O217" s="2"/>
      <c r="P217" s="2"/>
      <c r="Q217" s="2"/>
      <c r="R217" s="2"/>
      <c r="S217" s="2"/>
      <c r="T217" s="9"/>
      <c r="U217" s="9"/>
      <c r="V217" s="9"/>
      <c r="W217" s="9"/>
      <c r="X217" s="9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1"/>
      <c r="L218" s="2"/>
      <c r="M218" s="2"/>
      <c r="N218" s="2"/>
      <c r="O218" s="2"/>
      <c r="P218" s="2"/>
      <c r="Q218" s="2"/>
      <c r="R218" s="2"/>
      <c r="S218" s="2"/>
      <c r="T218" s="9"/>
      <c r="U218" s="9"/>
      <c r="V218" s="9"/>
      <c r="W218" s="9"/>
      <c r="X218" s="9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1"/>
      <c r="L219" s="2"/>
      <c r="M219" s="2"/>
      <c r="N219" s="2"/>
      <c r="O219" s="2"/>
      <c r="P219" s="2"/>
      <c r="Q219" s="2"/>
      <c r="R219" s="2"/>
      <c r="S219" s="2"/>
      <c r="T219" s="9"/>
      <c r="U219" s="9"/>
      <c r="V219" s="9"/>
      <c r="W219" s="9"/>
      <c r="X219" s="9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1"/>
      <c r="L220" s="2"/>
      <c r="M220" s="2"/>
      <c r="N220" s="2"/>
      <c r="O220" s="2"/>
      <c r="P220" s="2"/>
      <c r="Q220" s="2"/>
      <c r="R220" s="2"/>
      <c r="S220" s="2"/>
      <c r="T220" s="9"/>
      <c r="U220" s="9"/>
      <c r="V220" s="9"/>
      <c r="W220" s="9"/>
      <c r="X220" s="9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1"/>
      <c r="L221" s="2"/>
      <c r="M221" s="2"/>
      <c r="N221" s="2"/>
      <c r="O221" s="2"/>
      <c r="P221" s="2"/>
      <c r="Q221" s="2"/>
      <c r="R221" s="2"/>
      <c r="S221" s="2"/>
      <c r="T221" s="9"/>
      <c r="U221" s="9"/>
      <c r="V221" s="9"/>
      <c r="W221" s="9"/>
      <c r="X221" s="9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1"/>
      <c r="L222" s="2"/>
      <c r="M222" s="2"/>
      <c r="N222" s="2"/>
      <c r="O222" s="2"/>
      <c r="P222" s="2"/>
      <c r="Q222" s="2"/>
      <c r="R222" s="2"/>
      <c r="S222" s="2"/>
      <c r="T222" s="9"/>
      <c r="U222" s="9"/>
      <c r="V222" s="9"/>
      <c r="W222" s="9"/>
      <c r="X222" s="9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1"/>
      <c r="L223" s="2"/>
      <c r="M223" s="2"/>
      <c r="N223" s="2"/>
      <c r="O223" s="2"/>
      <c r="P223" s="2"/>
      <c r="Q223" s="2"/>
      <c r="R223" s="2"/>
      <c r="S223" s="2"/>
      <c r="T223" s="9"/>
      <c r="U223" s="9"/>
      <c r="V223" s="9"/>
      <c r="W223" s="9"/>
      <c r="X223" s="9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1"/>
      <c r="L224" s="2"/>
      <c r="M224" s="2"/>
      <c r="N224" s="2"/>
      <c r="O224" s="2"/>
      <c r="P224" s="2"/>
      <c r="Q224" s="2"/>
      <c r="R224" s="2"/>
      <c r="S224" s="2"/>
      <c r="T224" s="9"/>
      <c r="U224" s="9"/>
      <c r="V224" s="9"/>
      <c r="W224" s="9"/>
      <c r="X224" s="9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1"/>
      <c r="L225" s="2"/>
      <c r="M225" s="2"/>
      <c r="N225" s="2"/>
      <c r="O225" s="2"/>
      <c r="P225" s="2"/>
      <c r="Q225" s="2"/>
      <c r="R225" s="2"/>
      <c r="S225" s="2"/>
      <c r="T225" s="9"/>
      <c r="U225" s="9"/>
      <c r="V225" s="9"/>
      <c r="W225" s="9"/>
      <c r="X225" s="9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1"/>
      <c r="L226" s="2"/>
      <c r="M226" s="2"/>
      <c r="N226" s="2"/>
      <c r="O226" s="2"/>
      <c r="P226" s="2"/>
      <c r="Q226" s="2"/>
      <c r="R226" s="2"/>
      <c r="S226" s="2"/>
      <c r="T226" s="9"/>
      <c r="U226" s="9"/>
      <c r="V226" s="9"/>
      <c r="W226" s="9"/>
      <c r="X226" s="9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1"/>
      <c r="L227" s="2"/>
      <c r="M227" s="2"/>
      <c r="N227" s="2"/>
      <c r="O227" s="2"/>
      <c r="P227" s="2"/>
      <c r="Q227" s="2"/>
      <c r="R227" s="2"/>
      <c r="S227" s="2"/>
      <c r="T227" s="9"/>
      <c r="U227" s="9"/>
      <c r="V227" s="9"/>
      <c r="W227" s="9"/>
      <c r="X227" s="9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1"/>
      <c r="L228" s="2"/>
      <c r="M228" s="2"/>
      <c r="N228" s="2"/>
      <c r="O228" s="2"/>
      <c r="P228" s="2"/>
      <c r="Q228" s="2"/>
      <c r="R228" s="2"/>
      <c r="S228" s="2"/>
      <c r="T228" s="9"/>
      <c r="U228" s="9"/>
      <c r="V228" s="9"/>
      <c r="W228" s="9"/>
      <c r="X228" s="9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1"/>
      <c r="L229" s="2"/>
      <c r="M229" s="2"/>
      <c r="N229" s="2"/>
      <c r="O229" s="2"/>
      <c r="P229" s="2"/>
      <c r="Q229" s="2"/>
      <c r="R229" s="2"/>
      <c r="S229" s="2"/>
      <c r="T229" s="9"/>
      <c r="U229" s="9"/>
      <c r="V229" s="9"/>
      <c r="W229" s="9"/>
      <c r="X229" s="9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1"/>
      <c r="L230" s="2"/>
      <c r="M230" s="2"/>
      <c r="N230" s="2"/>
      <c r="O230" s="2"/>
      <c r="P230" s="2"/>
      <c r="Q230" s="2"/>
      <c r="R230" s="2"/>
      <c r="S230" s="2"/>
      <c r="T230" s="9"/>
      <c r="U230" s="9"/>
      <c r="V230" s="9"/>
      <c r="W230" s="9"/>
      <c r="X230" s="9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1"/>
      <c r="L231" s="2"/>
      <c r="M231" s="2"/>
      <c r="N231" s="2"/>
      <c r="O231" s="2"/>
      <c r="P231" s="2"/>
      <c r="Q231" s="2"/>
      <c r="R231" s="2"/>
      <c r="S231" s="2"/>
      <c r="T231" s="9"/>
      <c r="U231" s="9"/>
      <c r="V231" s="9"/>
      <c r="W231" s="9"/>
      <c r="X231" s="9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1"/>
      <c r="L232" s="2"/>
      <c r="M232" s="2"/>
      <c r="N232" s="2"/>
      <c r="O232" s="2"/>
      <c r="P232" s="2"/>
      <c r="Q232" s="2"/>
      <c r="R232" s="2"/>
      <c r="S232" s="2"/>
      <c r="T232" s="9"/>
      <c r="U232" s="9"/>
      <c r="V232" s="9"/>
      <c r="W232" s="9"/>
      <c r="X232" s="9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1"/>
      <c r="L233" s="2"/>
      <c r="M233" s="2"/>
      <c r="N233" s="2"/>
      <c r="O233" s="2"/>
      <c r="P233" s="2"/>
      <c r="Q233" s="2"/>
      <c r="R233" s="2"/>
      <c r="S233" s="2"/>
      <c r="T233" s="9"/>
      <c r="U233" s="9"/>
      <c r="V233" s="9"/>
      <c r="W233" s="9"/>
      <c r="X233" s="9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1"/>
      <c r="L234" s="2"/>
      <c r="M234" s="2"/>
      <c r="N234" s="2"/>
      <c r="O234" s="2"/>
      <c r="P234" s="2"/>
      <c r="Q234" s="2"/>
      <c r="R234" s="2"/>
      <c r="S234" s="2"/>
      <c r="T234" s="9"/>
      <c r="U234" s="9"/>
      <c r="V234" s="9"/>
      <c r="W234" s="9"/>
      <c r="X234" s="9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1"/>
      <c r="L235" s="2"/>
      <c r="M235" s="2"/>
      <c r="N235" s="2"/>
      <c r="O235" s="2"/>
      <c r="P235" s="2"/>
      <c r="Q235" s="2"/>
      <c r="R235" s="2"/>
      <c r="S235" s="2"/>
      <c r="T235" s="9"/>
      <c r="U235" s="9"/>
      <c r="V235" s="9"/>
      <c r="W235" s="9"/>
      <c r="X235" s="9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1"/>
      <c r="L236" s="2"/>
      <c r="M236" s="2"/>
      <c r="N236" s="2"/>
      <c r="O236" s="2"/>
      <c r="P236" s="2"/>
      <c r="Q236" s="2"/>
      <c r="R236" s="2"/>
      <c r="S236" s="2"/>
      <c r="T236" s="9"/>
      <c r="U236" s="9"/>
      <c r="V236" s="9"/>
      <c r="W236" s="9"/>
      <c r="X236" s="9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1"/>
      <c r="L237" s="2"/>
      <c r="M237" s="2"/>
      <c r="N237" s="2"/>
      <c r="O237" s="2"/>
      <c r="P237" s="2"/>
      <c r="Q237" s="2"/>
      <c r="R237" s="2"/>
      <c r="S237" s="2"/>
      <c r="T237" s="9"/>
      <c r="U237" s="9"/>
      <c r="V237" s="9"/>
      <c r="W237" s="9"/>
      <c r="X237" s="9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1"/>
      <c r="L238" s="2"/>
      <c r="M238" s="2"/>
      <c r="N238" s="2"/>
      <c r="O238" s="2"/>
      <c r="P238" s="2"/>
      <c r="Q238" s="2"/>
      <c r="R238" s="2"/>
      <c r="S238" s="2"/>
      <c r="T238" s="9"/>
      <c r="U238" s="9"/>
      <c r="V238" s="9"/>
      <c r="W238" s="9"/>
      <c r="X238" s="9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1"/>
      <c r="L239" s="2"/>
      <c r="M239" s="2"/>
      <c r="N239" s="2"/>
      <c r="O239" s="2"/>
      <c r="P239" s="2"/>
      <c r="Q239" s="2"/>
      <c r="R239" s="2"/>
      <c r="S239" s="2"/>
      <c r="T239" s="9"/>
      <c r="U239" s="9"/>
      <c r="V239" s="9"/>
      <c r="W239" s="9"/>
      <c r="X239" s="9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1"/>
      <c r="L240" s="2"/>
      <c r="M240" s="2"/>
      <c r="N240" s="2"/>
      <c r="O240" s="2"/>
      <c r="P240" s="2"/>
      <c r="Q240" s="2"/>
      <c r="R240" s="2"/>
      <c r="S240" s="2"/>
      <c r="T240" s="9"/>
      <c r="U240" s="9"/>
      <c r="V240" s="9"/>
      <c r="W240" s="9"/>
      <c r="X240" s="9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1"/>
      <c r="L241" s="2"/>
      <c r="M241" s="2"/>
      <c r="N241" s="2"/>
      <c r="O241" s="2"/>
      <c r="P241" s="2"/>
      <c r="Q241" s="2"/>
      <c r="R241" s="2"/>
      <c r="S241" s="2"/>
      <c r="T241" s="9"/>
      <c r="U241" s="9"/>
      <c r="V241" s="9"/>
      <c r="W241" s="9"/>
      <c r="X241" s="9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1"/>
      <c r="L242" s="2"/>
      <c r="M242" s="2"/>
      <c r="N242" s="2"/>
      <c r="O242" s="2"/>
      <c r="P242" s="2"/>
      <c r="Q242" s="2"/>
      <c r="R242" s="2"/>
      <c r="S242" s="2"/>
      <c r="T242" s="9"/>
      <c r="U242" s="9"/>
      <c r="V242" s="9"/>
      <c r="W242" s="9"/>
      <c r="X242" s="9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1"/>
      <c r="L243" s="2"/>
      <c r="M243" s="2"/>
      <c r="N243" s="2"/>
      <c r="O243" s="2"/>
      <c r="P243" s="2"/>
      <c r="Q243" s="2"/>
      <c r="R243" s="2"/>
      <c r="S243" s="2"/>
      <c r="T243" s="9"/>
      <c r="U243" s="9"/>
      <c r="V243" s="9"/>
      <c r="W243" s="9"/>
      <c r="X243" s="9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1"/>
      <c r="L244" s="2"/>
      <c r="M244" s="2"/>
      <c r="N244" s="2"/>
      <c r="O244" s="2"/>
      <c r="P244" s="2"/>
      <c r="Q244" s="2"/>
      <c r="R244" s="2"/>
      <c r="S244" s="2"/>
      <c r="T244" s="9"/>
      <c r="U244" s="9"/>
      <c r="V244" s="9"/>
      <c r="W244" s="9"/>
      <c r="X244" s="9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1"/>
      <c r="L245" s="2"/>
      <c r="M245" s="2"/>
      <c r="N245" s="2"/>
      <c r="O245" s="2"/>
      <c r="P245" s="2"/>
      <c r="Q245" s="2"/>
      <c r="R245" s="2"/>
      <c r="S245" s="2"/>
      <c r="T245" s="9"/>
      <c r="U245" s="9"/>
      <c r="V245" s="9"/>
      <c r="W245" s="9"/>
      <c r="X245" s="9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1"/>
      <c r="L246" s="2"/>
      <c r="M246" s="2"/>
      <c r="N246" s="2"/>
      <c r="O246" s="2"/>
      <c r="P246" s="2"/>
      <c r="Q246" s="2"/>
      <c r="R246" s="2"/>
      <c r="S246" s="2"/>
      <c r="T246" s="9"/>
      <c r="U246" s="9"/>
      <c r="V246" s="9"/>
      <c r="W246" s="9"/>
      <c r="X246" s="9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1"/>
      <c r="L247" s="2"/>
      <c r="M247" s="2"/>
      <c r="N247" s="2"/>
      <c r="O247" s="2"/>
      <c r="P247" s="2"/>
      <c r="Q247" s="2"/>
      <c r="R247" s="2"/>
      <c r="S247" s="2"/>
      <c r="T247" s="9"/>
      <c r="U247" s="9"/>
      <c r="V247" s="9"/>
      <c r="W247" s="9"/>
      <c r="X247" s="9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1"/>
      <c r="L248" s="2"/>
      <c r="M248" s="2"/>
      <c r="N248" s="2"/>
      <c r="O248" s="2"/>
      <c r="P248" s="2"/>
      <c r="Q248" s="2"/>
      <c r="R248" s="2"/>
      <c r="S248" s="2"/>
      <c r="T248" s="9"/>
      <c r="U248" s="9"/>
      <c r="V248" s="9"/>
      <c r="W248" s="9"/>
      <c r="X248" s="9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1"/>
      <c r="L249" s="2"/>
      <c r="M249" s="2"/>
      <c r="N249" s="2"/>
      <c r="O249" s="2"/>
      <c r="P249" s="2"/>
      <c r="Q249" s="2"/>
      <c r="R249" s="2"/>
      <c r="S249" s="2"/>
      <c r="T249" s="9"/>
      <c r="U249" s="9"/>
      <c r="V249" s="9"/>
      <c r="W249" s="9"/>
      <c r="X249" s="9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1"/>
      <c r="L250" s="2"/>
      <c r="M250" s="2"/>
      <c r="N250" s="2"/>
      <c r="O250" s="2"/>
      <c r="P250" s="2"/>
      <c r="Q250" s="2"/>
      <c r="R250" s="2"/>
      <c r="S250" s="2"/>
      <c r="T250" s="9"/>
      <c r="U250" s="9"/>
      <c r="V250" s="9"/>
      <c r="W250" s="9"/>
      <c r="X250" s="9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1"/>
      <c r="L251" s="2"/>
      <c r="M251" s="2"/>
      <c r="N251" s="2"/>
      <c r="O251" s="2"/>
      <c r="P251" s="2"/>
      <c r="Q251" s="2"/>
      <c r="R251" s="2"/>
      <c r="S251" s="2"/>
      <c r="T251" s="9"/>
      <c r="U251" s="9"/>
      <c r="V251" s="9"/>
      <c r="W251" s="9"/>
      <c r="X251" s="9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1"/>
      <c r="L252" s="2"/>
      <c r="M252" s="2"/>
      <c r="N252" s="2"/>
      <c r="O252" s="2"/>
      <c r="P252" s="2"/>
      <c r="Q252" s="2"/>
      <c r="R252" s="2"/>
      <c r="S252" s="2"/>
      <c r="T252" s="9"/>
      <c r="U252" s="9"/>
      <c r="V252" s="9"/>
      <c r="W252" s="9"/>
      <c r="X252" s="9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1"/>
      <c r="L253" s="2"/>
      <c r="M253" s="2"/>
      <c r="N253" s="2"/>
      <c r="O253" s="2"/>
      <c r="P253" s="2"/>
      <c r="Q253" s="2"/>
      <c r="R253" s="2"/>
      <c r="S253" s="2"/>
      <c r="T253" s="9"/>
      <c r="U253" s="9"/>
      <c r="V253" s="9"/>
      <c r="W253" s="9"/>
      <c r="X253" s="9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1"/>
      <c r="L254" s="2"/>
      <c r="M254" s="2"/>
      <c r="N254" s="2"/>
      <c r="O254" s="2"/>
      <c r="P254" s="2"/>
      <c r="Q254" s="2"/>
      <c r="R254" s="2"/>
      <c r="S254" s="2"/>
      <c r="T254" s="9"/>
      <c r="U254" s="9"/>
      <c r="V254" s="9"/>
      <c r="W254" s="9"/>
      <c r="X254" s="9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1"/>
      <c r="L255" s="2"/>
      <c r="M255" s="2"/>
      <c r="N255" s="2"/>
      <c r="O255" s="2"/>
      <c r="P255" s="2"/>
      <c r="Q255" s="2"/>
      <c r="R255" s="2"/>
      <c r="S255" s="2"/>
      <c r="T255" s="9"/>
      <c r="U255" s="9"/>
      <c r="V255" s="9"/>
      <c r="W255" s="9"/>
      <c r="X255" s="9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1"/>
      <c r="L256" s="2"/>
      <c r="M256" s="2"/>
      <c r="N256" s="2"/>
      <c r="O256" s="2"/>
      <c r="P256" s="2"/>
      <c r="Q256" s="2"/>
      <c r="R256" s="2"/>
      <c r="S256" s="2"/>
      <c r="T256" s="9"/>
      <c r="U256" s="9"/>
      <c r="V256" s="9"/>
      <c r="W256" s="9"/>
      <c r="X256" s="9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1"/>
      <c r="L257" s="2"/>
      <c r="M257" s="2"/>
      <c r="N257" s="2"/>
      <c r="O257" s="2"/>
      <c r="P257" s="2"/>
      <c r="Q257" s="2"/>
      <c r="R257" s="2"/>
      <c r="S257" s="2"/>
      <c r="T257" s="9"/>
      <c r="U257" s="9"/>
      <c r="V257" s="9"/>
      <c r="W257" s="9"/>
      <c r="X257" s="9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1"/>
      <c r="L258" s="2"/>
      <c r="M258" s="2"/>
      <c r="N258" s="2"/>
      <c r="O258" s="2"/>
      <c r="P258" s="2"/>
      <c r="Q258" s="2"/>
      <c r="R258" s="2"/>
      <c r="S258" s="2"/>
      <c r="T258" s="9"/>
      <c r="U258" s="9"/>
      <c r="V258" s="9"/>
      <c r="W258" s="9"/>
      <c r="X258" s="9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1"/>
      <c r="L259" s="2"/>
      <c r="M259" s="2"/>
      <c r="N259" s="2"/>
      <c r="O259" s="2"/>
      <c r="P259" s="2"/>
      <c r="Q259" s="2"/>
      <c r="R259" s="2"/>
      <c r="S259" s="2"/>
      <c r="T259" s="9"/>
      <c r="U259" s="9"/>
      <c r="V259" s="9"/>
      <c r="W259" s="9"/>
      <c r="X259" s="9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1"/>
      <c r="L260" s="2"/>
      <c r="M260" s="2"/>
      <c r="N260" s="2"/>
      <c r="O260" s="2"/>
      <c r="P260" s="2"/>
      <c r="Q260" s="2"/>
      <c r="R260" s="2"/>
      <c r="S260" s="2"/>
      <c r="T260" s="9"/>
      <c r="U260" s="9"/>
      <c r="V260" s="9"/>
      <c r="W260" s="9"/>
      <c r="X260" s="9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1"/>
      <c r="L261" s="2"/>
      <c r="M261" s="2"/>
      <c r="N261" s="2"/>
      <c r="O261" s="2"/>
      <c r="P261" s="2"/>
      <c r="Q261" s="2"/>
      <c r="R261" s="2"/>
      <c r="S261" s="2"/>
      <c r="T261" s="9"/>
      <c r="U261" s="9"/>
      <c r="V261" s="9"/>
      <c r="W261" s="9"/>
      <c r="X261" s="9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1"/>
      <c r="L262" s="2"/>
      <c r="M262" s="2"/>
      <c r="N262" s="2"/>
      <c r="O262" s="2"/>
      <c r="P262" s="2"/>
      <c r="Q262" s="2"/>
      <c r="R262" s="2"/>
      <c r="S262" s="2"/>
      <c r="T262" s="9"/>
      <c r="U262" s="9"/>
      <c r="V262" s="9"/>
      <c r="W262" s="9"/>
      <c r="X262" s="9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1"/>
      <c r="L263" s="2"/>
      <c r="M263" s="2"/>
      <c r="N263" s="2"/>
      <c r="O263" s="2"/>
      <c r="P263" s="2"/>
      <c r="Q263" s="2"/>
      <c r="R263" s="2"/>
      <c r="S263" s="2"/>
      <c r="T263" s="9"/>
      <c r="U263" s="9"/>
      <c r="V263" s="9"/>
      <c r="W263" s="9"/>
      <c r="X263" s="9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1"/>
      <c r="L264" s="2"/>
      <c r="M264" s="2"/>
      <c r="N264" s="2"/>
      <c r="O264" s="2"/>
      <c r="P264" s="2"/>
      <c r="Q264" s="2"/>
      <c r="R264" s="2"/>
      <c r="S264" s="2"/>
      <c r="T264" s="9"/>
      <c r="U264" s="9"/>
      <c r="V264" s="9"/>
      <c r="W264" s="9"/>
      <c r="X264" s="9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1"/>
      <c r="L265" s="2"/>
      <c r="M265" s="2"/>
      <c r="N265" s="2"/>
      <c r="O265" s="2"/>
      <c r="P265" s="2"/>
      <c r="Q265" s="2"/>
      <c r="R265" s="2"/>
      <c r="S265" s="2"/>
      <c r="T265" s="9"/>
      <c r="U265" s="9"/>
      <c r="V265" s="9"/>
      <c r="W265" s="9"/>
      <c r="X265" s="9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1"/>
      <c r="L266" s="2"/>
      <c r="M266" s="2"/>
      <c r="N266" s="2"/>
      <c r="O266" s="2"/>
      <c r="P266" s="2"/>
      <c r="Q266" s="2"/>
      <c r="R266" s="2"/>
      <c r="S266" s="2"/>
      <c r="T266" s="9"/>
      <c r="U266" s="9"/>
      <c r="V266" s="9"/>
      <c r="W266" s="9"/>
      <c r="X266" s="9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1"/>
      <c r="L267" s="2"/>
      <c r="M267" s="2"/>
      <c r="N267" s="2"/>
      <c r="O267" s="2"/>
      <c r="P267" s="2"/>
      <c r="Q267" s="2"/>
      <c r="R267" s="2"/>
      <c r="S267" s="2"/>
      <c r="T267" s="9"/>
      <c r="U267" s="9"/>
      <c r="V267" s="9"/>
      <c r="W267" s="9"/>
      <c r="X267" s="9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1"/>
      <c r="L268" s="2"/>
      <c r="M268" s="2"/>
      <c r="N268" s="2"/>
      <c r="O268" s="2"/>
      <c r="P268" s="2"/>
      <c r="Q268" s="2"/>
      <c r="R268" s="2"/>
      <c r="S268" s="2"/>
      <c r="T268" s="9"/>
      <c r="U268" s="9"/>
      <c r="V268" s="9"/>
      <c r="W268" s="9"/>
      <c r="X268" s="9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1"/>
      <c r="L269" s="2"/>
      <c r="M269" s="2"/>
      <c r="N269" s="2"/>
      <c r="O269" s="2"/>
      <c r="P269" s="2"/>
      <c r="Q269" s="2"/>
      <c r="R269" s="2"/>
      <c r="S269" s="2"/>
      <c r="T269" s="9"/>
      <c r="U269" s="9"/>
      <c r="V269" s="9"/>
      <c r="W269" s="9"/>
      <c r="X269" s="9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1"/>
      <c r="L270" s="2"/>
      <c r="M270" s="2"/>
      <c r="N270" s="2"/>
      <c r="O270" s="2"/>
      <c r="P270" s="2"/>
      <c r="Q270" s="2"/>
      <c r="R270" s="2"/>
      <c r="S270" s="2"/>
      <c r="T270" s="9"/>
      <c r="U270" s="9"/>
      <c r="V270" s="9"/>
      <c r="W270" s="9"/>
      <c r="X270" s="9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1"/>
      <c r="L271" s="2"/>
      <c r="M271" s="2"/>
      <c r="N271" s="2"/>
      <c r="O271" s="2"/>
      <c r="P271" s="2"/>
      <c r="Q271" s="2"/>
      <c r="R271" s="2"/>
      <c r="S271" s="2"/>
      <c r="T271" s="9"/>
      <c r="U271" s="9"/>
      <c r="V271" s="9"/>
      <c r="W271" s="9"/>
      <c r="X271" s="9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1"/>
      <c r="L272" s="2"/>
      <c r="M272" s="2"/>
      <c r="N272" s="2"/>
      <c r="O272" s="2"/>
      <c r="P272" s="2"/>
      <c r="Q272" s="2"/>
      <c r="R272" s="2"/>
      <c r="S272" s="2"/>
      <c r="T272" s="9"/>
      <c r="U272" s="9"/>
      <c r="V272" s="9"/>
      <c r="W272" s="9"/>
      <c r="X272" s="9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1"/>
      <c r="L273" s="2"/>
      <c r="M273" s="2"/>
      <c r="N273" s="2"/>
      <c r="O273" s="2"/>
      <c r="P273" s="2"/>
      <c r="Q273" s="2"/>
      <c r="R273" s="2"/>
      <c r="S273" s="2"/>
      <c r="T273" s="9"/>
      <c r="U273" s="9"/>
      <c r="V273" s="9"/>
      <c r="W273" s="9"/>
      <c r="X273" s="9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1"/>
      <c r="L274" s="2"/>
      <c r="M274" s="2"/>
      <c r="N274" s="2"/>
      <c r="O274" s="2"/>
      <c r="P274" s="2"/>
      <c r="Q274" s="2"/>
      <c r="R274" s="2"/>
      <c r="S274" s="2"/>
      <c r="T274" s="9"/>
      <c r="U274" s="9"/>
      <c r="V274" s="9"/>
      <c r="W274" s="9"/>
      <c r="X274" s="9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1"/>
      <c r="L275" s="2"/>
      <c r="M275" s="2"/>
      <c r="N275" s="2"/>
      <c r="O275" s="2"/>
      <c r="P275" s="2"/>
      <c r="Q275" s="2"/>
      <c r="R275" s="2"/>
      <c r="S275" s="2"/>
      <c r="T275" s="9"/>
      <c r="U275" s="9"/>
      <c r="V275" s="9"/>
      <c r="W275" s="9"/>
      <c r="X275" s="9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1"/>
      <c r="L276" s="2"/>
      <c r="M276" s="2"/>
      <c r="N276" s="2"/>
      <c r="O276" s="2"/>
      <c r="P276" s="2"/>
      <c r="Q276" s="2"/>
      <c r="R276" s="2"/>
      <c r="S276" s="2"/>
      <c r="T276" s="9"/>
      <c r="U276" s="9"/>
      <c r="V276" s="9"/>
      <c r="W276" s="9"/>
      <c r="X276" s="9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1"/>
      <c r="L277" s="2"/>
      <c r="M277" s="2"/>
      <c r="N277" s="2"/>
      <c r="O277" s="2"/>
      <c r="P277" s="2"/>
      <c r="Q277" s="2"/>
      <c r="R277" s="2"/>
      <c r="S277" s="2"/>
      <c r="T277" s="9"/>
      <c r="U277" s="9"/>
      <c r="V277" s="9"/>
      <c r="W277" s="9"/>
      <c r="X277" s="9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1"/>
      <c r="L278" s="2"/>
      <c r="M278" s="2"/>
      <c r="N278" s="2"/>
      <c r="O278" s="2"/>
      <c r="P278" s="2"/>
      <c r="Q278" s="2"/>
      <c r="R278" s="2"/>
      <c r="S278" s="2"/>
      <c r="T278" s="9"/>
      <c r="U278" s="9"/>
      <c r="V278" s="9"/>
      <c r="W278" s="9"/>
      <c r="X278" s="9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1"/>
      <c r="L279" s="2"/>
      <c r="M279" s="2"/>
      <c r="N279" s="2"/>
      <c r="O279" s="2"/>
      <c r="P279" s="2"/>
      <c r="Q279" s="2"/>
      <c r="R279" s="2"/>
      <c r="S279" s="2"/>
      <c r="T279" s="9"/>
      <c r="U279" s="9"/>
      <c r="V279" s="9"/>
      <c r="W279" s="9"/>
      <c r="X279" s="9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1"/>
      <c r="L280" s="2"/>
      <c r="M280" s="2"/>
      <c r="N280" s="2"/>
      <c r="O280" s="2"/>
      <c r="P280" s="2"/>
      <c r="Q280" s="2"/>
      <c r="R280" s="2"/>
      <c r="S280" s="2"/>
      <c r="T280" s="9"/>
      <c r="U280" s="9"/>
      <c r="V280" s="9"/>
      <c r="W280" s="9"/>
      <c r="X280" s="9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2:I2"/>
    <mergeCell ref="L2:R2"/>
    <mergeCell ref="U2:X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8" width="9.71"/>
    <col customWidth="1" min="9" max="9" width="5.71"/>
    <col customWidth="1" min="10" max="15" width="9.71"/>
    <col customWidth="1" min="16" max="27" width="9.14"/>
  </cols>
  <sheetData>
    <row r="1" ht="14.25" customHeight="1">
      <c r="A1" s="1"/>
      <c r="B1" s="1"/>
      <c r="C1" s="3"/>
      <c r="D1" s="3"/>
      <c r="E1" s="3"/>
      <c r="F1" s="3"/>
      <c r="G1" s="3"/>
      <c r="H1" s="3"/>
      <c r="I1" s="1"/>
      <c r="J1" s="1"/>
      <c r="K1" s="3"/>
      <c r="L1" s="3"/>
      <c r="M1" s="3"/>
      <c r="N1" s="3"/>
      <c r="O1" s="3"/>
      <c r="P1" s="3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39.75" customHeight="1">
      <c r="A2" s="1"/>
      <c r="B2" s="8"/>
      <c r="C2" s="10" t="s">
        <v>0</v>
      </c>
      <c r="D2" s="11"/>
      <c r="E2" s="11"/>
      <c r="F2" s="11"/>
      <c r="G2" s="11"/>
      <c r="H2" s="13"/>
      <c r="I2" s="14"/>
      <c r="J2" s="15"/>
      <c r="K2" s="10" t="s">
        <v>1</v>
      </c>
      <c r="L2" s="11"/>
      <c r="M2" s="11"/>
      <c r="N2" s="11"/>
      <c r="O2" s="11"/>
      <c r="P2" s="13"/>
      <c r="Q2" s="14"/>
      <c r="R2" s="1"/>
      <c r="S2" s="1"/>
      <c r="T2" s="1"/>
      <c r="U2" s="1"/>
      <c r="V2" s="1"/>
      <c r="W2" s="1"/>
      <c r="X2" s="1"/>
      <c r="Y2" s="1"/>
      <c r="Z2" s="1"/>
      <c r="AA2" s="1"/>
    </row>
    <row r="3" ht="14.25" customHeight="1">
      <c r="A3" s="1"/>
      <c r="B3" s="1"/>
      <c r="C3" s="18" t="s">
        <v>3</v>
      </c>
      <c r="D3" s="21" t="s">
        <v>5</v>
      </c>
      <c r="E3" s="18" t="s">
        <v>6</v>
      </c>
      <c r="F3" s="21" t="s">
        <v>7</v>
      </c>
      <c r="G3" s="18" t="s">
        <v>8</v>
      </c>
      <c r="H3" s="21" t="s">
        <v>9</v>
      </c>
      <c r="I3" s="1"/>
      <c r="J3" s="3"/>
      <c r="K3" s="25" t="s">
        <v>3</v>
      </c>
      <c r="L3" s="27" t="s">
        <v>5</v>
      </c>
      <c r="M3" s="25" t="s">
        <v>6</v>
      </c>
      <c r="N3" s="27" t="s">
        <v>7</v>
      </c>
      <c r="O3" s="25" t="s">
        <v>8</v>
      </c>
      <c r="P3" s="30" t="s">
        <v>9</v>
      </c>
      <c r="Q3" s="14"/>
      <c r="R3" s="1"/>
      <c r="S3" s="1"/>
      <c r="T3" s="1"/>
      <c r="U3" s="1"/>
      <c r="V3" s="1"/>
      <c r="W3" s="1"/>
      <c r="X3" s="1"/>
      <c r="Y3" s="1"/>
      <c r="Z3" s="1"/>
      <c r="AA3" s="1"/>
    </row>
    <row r="4" ht="14.25" customHeight="1">
      <c r="A4" s="1"/>
      <c r="B4" s="32"/>
      <c r="C4" s="33"/>
      <c r="D4" s="33"/>
      <c r="E4" s="33"/>
      <c r="F4" s="33"/>
      <c r="G4" s="33"/>
      <c r="H4" s="36"/>
      <c r="I4" s="15"/>
      <c r="J4" s="32" t="s">
        <v>14</v>
      </c>
      <c r="K4" s="33">
        <v>15.89</v>
      </c>
      <c r="L4" s="33">
        <v>27.38</v>
      </c>
      <c r="M4" s="33">
        <v>22.59</v>
      </c>
      <c r="N4" s="33">
        <v>27.51</v>
      </c>
      <c r="O4" s="33">
        <v>35.97</v>
      </c>
      <c r="P4" s="36">
        <v>47.19</v>
      </c>
      <c r="Q4" s="14"/>
      <c r="R4" s="1"/>
      <c r="S4" s="1"/>
      <c r="T4" s="1"/>
      <c r="U4" s="1"/>
      <c r="V4" s="1"/>
      <c r="W4" s="1"/>
      <c r="X4" s="1"/>
      <c r="Y4" s="1"/>
      <c r="Z4" s="1"/>
      <c r="AA4" s="1"/>
    </row>
    <row r="5" ht="14.25" customHeight="1">
      <c r="A5" s="1"/>
      <c r="B5" s="41"/>
      <c r="C5" s="43"/>
      <c r="D5" s="43"/>
      <c r="E5" s="43"/>
      <c r="F5" s="43"/>
      <c r="G5" s="43"/>
      <c r="H5" s="46"/>
      <c r="I5" s="15"/>
      <c r="J5" s="41">
        <v>0.5</v>
      </c>
      <c r="K5" s="43">
        <v>16.77</v>
      </c>
      <c r="L5" s="43">
        <v>23.55</v>
      </c>
      <c r="M5" s="43">
        <v>25.1</v>
      </c>
      <c r="N5" s="43">
        <v>34.59</v>
      </c>
      <c r="O5" s="43">
        <v>40.02</v>
      </c>
      <c r="P5" s="46">
        <v>47.61</v>
      </c>
      <c r="Q5" s="14"/>
      <c r="R5" s="1"/>
      <c r="S5" s="1"/>
      <c r="T5" s="1"/>
      <c r="U5" s="1"/>
      <c r="V5" s="1"/>
      <c r="W5" s="1"/>
      <c r="X5" s="1"/>
      <c r="Y5" s="1"/>
      <c r="Z5" s="1"/>
      <c r="AA5" s="1"/>
    </row>
    <row r="6" ht="14.25" customHeight="1">
      <c r="A6" s="1"/>
      <c r="B6" s="41"/>
      <c r="C6" s="43"/>
      <c r="D6" s="43"/>
      <c r="E6" s="43"/>
      <c r="F6" s="43"/>
      <c r="G6" s="43"/>
      <c r="H6" s="46"/>
      <c r="I6" s="15"/>
      <c r="J6" s="41">
        <v>1.0</v>
      </c>
      <c r="K6" s="43">
        <v>19.65</v>
      </c>
      <c r="L6" s="43">
        <v>27.99</v>
      </c>
      <c r="M6" s="43">
        <v>32.63</v>
      </c>
      <c r="N6" s="43">
        <v>43.64</v>
      </c>
      <c r="O6" s="43">
        <v>52.47</v>
      </c>
      <c r="P6" s="46">
        <v>59.91</v>
      </c>
      <c r="Q6" s="14"/>
      <c r="R6" s="1"/>
      <c r="S6" s="1"/>
      <c r="T6" s="1"/>
      <c r="U6" s="1"/>
      <c r="V6" s="1"/>
      <c r="W6" s="1"/>
      <c r="X6" s="1"/>
      <c r="Y6" s="1"/>
      <c r="Z6" s="1"/>
      <c r="AA6" s="1"/>
    </row>
    <row r="7" ht="14.25" customHeight="1">
      <c r="A7" s="1"/>
      <c r="B7" s="41"/>
      <c r="C7" s="43"/>
      <c r="D7" s="43"/>
      <c r="E7" s="43"/>
      <c r="F7" s="43"/>
      <c r="G7" s="43"/>
      <c r="H7" s="46"/>
      <c r="I7" s="15"/>
      <c r="J7" s="41">
        <v>1.5</v>
      </c>
      <c r="K7" s="43">
        <v>23.57</v>
      </c>
      <c r="L7" s="43">
        <v>31.65</v>
      </c>
      <c r="M7" s="43">
        <v>43.05</v>
      </c>
      <c r="N7" s="43">
        <v>52.68</v>
      </c>
      <c r="O7" s="43">
        <v>61.56</v>
      </c>
      <c r="P7" s="46">
        <v>69.95</v>
      </c>
      <c r="Q7" s="14"/>
      <c r="R7" s="1"/>
      <c r="S7" s="1"/>
      <c r="T7" s="1"/>
      <c r="U7" s="1"/>
      <c r="V7" s="1"/>
      <c r="W7" s="1"/>
      <c r="X7" s="1"/>
      <c r="Y7" s="1"/>
      <c r="Z7" s="1"/>
      <c r="AA7" s="1"/>
    </row>
    <row r="8" ht="14.25" customHeight="1">
      <c r="A8" s="1"/>
      <c r="B8" s="41"/>
      <c r="C8" s="43"/>
      <c r="D8" s="43"/>
      <c r="E8" s="43"/>
      <c r="F8" s="43"/>
      <c r="G8" s="43"/>
      <c r="H8" s="46"/>
      <c r="I8" s="15"/>
      <c r="J8" s="41">
        <v>2.0</v>
      </c>
      <c r="K8" s="43">
        <v>27.89</v>
      </c>
      <c r="L8" s="43">
        <v>35.24</v>
      </c>
      <c r="M8" s="43">
        <v>53.34</v>
      </c>
      <c r="N8" s="43">
        <v>61.58</v>
      </c>
      <c r="O8" s="43">
        <v>70.41</v>
      </c>
      <c r="P8" s="46">
        <v>80.19</v>
      </c>
      <c r="Q8" s="14"/>
      <c r="R8" s="1"/>
      <c r="S8" s="1"/>
      <c r="T8" s="1"/>
      <c r="U8" s="1"/>
      <c r="V8" s="1"/>
      <c r="W8" s="1"/>
      <c r="X8" s="1"/>
      <c r="Y8" s="1"/>
      <c r="Z8" s="1"/>
      <c r="AA8" s="1"/>
    </row>
    <row r="9" ht="14.25" customHeight="1">
      <c r="A9" s="1"/>
      <c r="B9" s="77"/>
      <c r="C9" s="79"/>
      <c r="D9" s="79"/>
      <c r="E9" s="79"/>
      <c r="F9" s="79"/>
      <c r="G9" s="79"/>
      <c r="H9" s="80"/>
      <c r="I9" s="15"/>
      <c r="J9" s="77">
        <v>2.5</v>
      </c>
      <c r="K9" s="79">
        <v>31.08</v>
      </c>
      <c r="L9" s="79">
        <v>38.94</v>
      </c>
      <c r="M9" s="79">
        <v>63.54</v>
      </c>
      <c r="N9" s="79">
        <v>71.28</v>
      </c>
      <c r="O9" s="79">
        <v>82.14</v>
      </c>
      <c r="P9" s="80">
        <v>90.41</v>
      </c>
      <c r="Q9" s="14"/>
      <c r="R9" s="1"/>
      <c r="S9" s="1"/>
      <c r="T9" s="1"/>
      <c r="U9" s="1"/>
      <c r="V9" s="1"/>
      <c r="W9" s="1"/>
      <c r="X9" s="1"/>
      <c r="Y9" s="1"/>
      <c r="Z9" s="1"/>
      <c r="AA9" s="1"/>
    </row>
    <row r="10" ht="14.25" customHeight="1">
      <c r="A10" s="1"/>
      <c r="B10" s="72">
        <v>0.5</v>
      </c>
      <c r="C10" s="90">
        <v>18.02</v>
      </c>
      <c r="D10" s="90">
        <v>25.41</v>
      </c>
      <c r="E10" s="90">
        <v>24.83</v>
      </c>
      <c r="F10" s="90">
        <v>30.56</v>
      </c>
      <c r="G10" s="90">
        <v>41.28</v>
      </c>
      <c r="H10" s="90">
        <v>52.66</v>
      </c>
      <c r="I10" s="1"/>
      <c r="J10" s="18">
        <v>0.5</v>
      </c>
      <c r="K10" s="92">
        <v>19.2</v>
      </c>
      <c r="L10" s="92">
        <v>27.03</v>
      </c>
      <c r="M10" s="92">
        <v>26.39</v>
      </c>
      <c r="N10" s="92">
        <v>32.51</v>
      </c>
      <c r="O10" s="92">
        <v>43.91</v>
      </c>
      <c r="P10" s="93">
        <v>56.04</v>
      </c>
      <c r="Q10" s="14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4.25" customHeight="1">
      <c r="A11" s="1"/>
      <c r="B11" s="96">
        <v>1.0</v>
      </c>
      <c r="C11" s="97">
        <v>21.03</v>
      </c>
      <c r="D11" s="97">
        <v>30.05</v>
      </c>
      <c r="E11" s="97">
        <v>30.69</v>
      </c>
      <c r="F11" s="97">
        <v>37.78</v>
      </c>
      <c r="G11" s="97">
        <v>52.13</v>
      </c>
      <c r="H11" s="97">
        <v>62.18</v>
      </c>
      <c r="I11" s="1"/>
      <c r="J11" s="96">
        <v>1.0</v>
      </c>
      <c r="K11" s="97">
        <v>22.35</v>
      </c>
      <c r="L11" s="97">
        <v>31.95</v>
      </c>
      <c r="M11" s="97">
        <v>32.65</v>
      </c>
      <c r="N11" s="97">
        <v>40.18</v>
      </c>
      <c r="O11" s="97">
        <v>55.46</v>
      </c>
      <c r="P11" s="98">
        <v>66.14</v>
      </c>
      <c r="Q11" s="14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4.25" customHeight="1">
      <c r="A12" s="1"/>
      <c r="B12" s="72">
        <v>1.5</v>
      </c>
      <c r="C12" s="90">
        <v>24.04</v>
      </c>
      <c r="D12" s="90">
        <v>33.33</v>
      </c>
      <c r="E12" s="90">
        <v>36.73</v>
      </c>
      <c r="F12" s="90">
        <v>45.08</v>
      </c>
      <c r="G12" s="90">
        <v>60.0</v>
      </c>
      <c r="H12" s="90">
        <v>69.94</v>
      </c>
      <c r="I12" s="1"/>
      <c r="J12" s="72">
        <v>1.5</v>
      </c>
      <c r="K12" s="90">
        <v>25.58</v>
      </c>
      <c r="L12" s="90">
        <v>35.45</v>
      </c>
      <c r="M12" s="90">
        <v>39.06</v>
      </c>
      <c r="N12" s="90">
        <v>48.0</v>
      </c>
      <c r="O12" s="90">
        <v>63.8</v>
      </c>
      <c r="P12" s="105">
        <v>74.43</v>
      </c>
      <c r="Q12" s="14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4.25" customHeight="1">
      <c r="A13" s="1"/>
      <c r="B13" s="96">
        <v>2.0</v>
      </c>
      <c r="C13" s="97">
        <v>27.27</v>
      </c>
      <c r="D13" s="97">
        <v>37.4</v>
      </c>
      <c r="E13" s="97">
        <v>42.52</v>
      </c>
      <c r="F13" s="97">
        <v>52.31</v>
      </c>
      <c r="G13" s="97">
        <v>67.65</v>
      </c>
      <c r="H13" s="97">
        <v>77.75</v>
      </c>
      <c r="I13" s="1"/>
      <c r="J13" s="96">
        <v>2.0</v>
      </c>
      <c r="K13" s="97">
        <v>29.02</v>
      </c>
      <c r="L13" s="97">
        <v>39.8</v>
      </c>
      <c r="M13" s="97">
        <v>45.21</v>
      </c>
      <c r="N13" s="97">
        <v>55.64</v>
      </c>
      <c r="O13" s="97">
        <v>72.01</v>
      </c>
      <c r="P13" s="98">
        <v>82.73</v>
      </c>
      <c r="Q13" s="14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4.25" customHeight="1">
      <c r="A14" s="1"/>
      <c r="B14" s="72">
        <v>2.5</v>
      </c>
      <c r="C14" s="90">
        <v>30.02</v>
      </c>
      <c r="D14" s="90">
        <v>42.24</v>
      </c>
      <c r="E14" s="90">
        <v>48.36</v>
      </c>
      <c r="F14" s="90">
        <v>59.5</v>
      </c>
      <c r="G14" s="90">
        <v>75.82</v>
      </c>
      <c r="H14" s="90">
        <v>85.71</v>
      </c>
      <c r="I14" s="1"/>
      <c r="J14" s="72">
        <v>2.5</v>
      </c>
      <c r="K14" s="90">
        <v>31.94</v>
      </c>
      <c r="L14" s="90">
        <v>44.97</v>
      </c>
      <c r="M14" s="90">
        <v>51.45</v>
      </c>
      <c r="N14" s="90">
        <v>63.28</v>
      </c>
      <c r="O14" s="90">
        <v>80.64</v>
      </c>
      <c r="P14" s="105">
        <v>91.21</v>
      </c>
      <c r="Q14" s="14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4.25" customHeight="1">
      <c r="A15" s="1"/>
      <c r="B15" s="96">
        <v>3.0</v>
      </c>
      <c r="C15" s="97">
        <v>31.79</v>
      </c>
      <c r="D15" s="97">
        <v>46.97</v>
      </c>
      <c r="E15" s="97">
        <v>54.21</v>
      </c>
      <c r="F15" s="97">
        <v>66.48</v>
      </c>
      <c r="G15" s="97">
        <v>81.71</v>
      </c>
      <c r="H15" s="97">
        <v>92.76</v>
      </c>
      <c r="I15" s="1"/>
      <c r="J15" s="96">
        <v>3.0</v>
      </c>
      <c r="K15" s="97">
        <v>33.83</v>
      </c>
      <c r="L15" s="97">
        <v>49.95</v>
      </c>
      <c r="M15" s="97">
        <v>57.65</v>
      </c>
      <c r="N15" s="97">
        <v>70.75</v>
      </c>
      <c r="O15" s="97">
        <v>86.91</v>
      </c>
      <c r="P15" s="98">
        <v>98.7</v>
      </c>
      <c r="Q15" s="14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4.25" customHeight="1">
      <c r="A16" s="1"/>
      <c r="B16" s="72">
        <v>3.5</v>
      </c>
      <c r="C16" s="90">
        <v>33.75</v>
      </c>
      <c r="D16" s="90">
        <v>52.41</v>
      </c>
      <c r="E16" s="90">
        <v>60.08</v>
      </c>
      <c r="F16" s="90">
        <v>73.65</v>
      </c>
      <c r="G16" s="90">
        <v>88.58</v>
      </c>
      <c r="H16" s="90">
        <v>99.96</v>
      </c>
      <c r="I16" s="1"/>
      <c r="J16" s="72">
        <v>3.5</v>
      </c>
      <c r="K16" s="90">
        <v>35.93</v>
      </c>
      <c r="L16" s="90">
        <v>55.79</v>
      </c>
      <c r="M16" s="90">
        <v>63.9</v>
      </c>
      <c r="N16" s="90">
        <v>78.36</v>
      </c>
      <c r="O16" s="90">
        <v>94.22</v>
      </c>
      <c r="P16" s="105">
        <v>106.33</v>
      </c>
      <c r="Q16" s="14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4.25" customHeight="1">
      <c r="A17" s="1"/>
      <c r="B17" s="96">
        <v>4.0</v>
      </c>
      <c r="C17" s="97">
        <v>35.74</v>
      </c>
      <c r="D17" s="97">
        <v>56.66</v>
      </c>
      <c r="E17" s="97">
        <v>65.4</v>
      </c>
      <c r="F17" s="97">
        <v>80.2</v>
      </c>
      <c r="G17" s="97">
        <v>95.39</v>
      </c>
      <c r="H17" s="97">
        <v>106.94</v>
      </c>
      <c r="I17" s="1"/>
      <c r="J17" s="96">
        <v>4.0</v>
      </c>
      <c r="K17" s="97">
        <v>38.03</v>
      </c>
      <c r="L17" s="97">
        <v>60.26</v>
      </c>
      <c r="M17" s="97">
        <v>69.56</v>
      </c>
      <c r="N17" s="97">
        <v>85.32</v>
      </c>
      <c r="O17" s="97">
        <v>101.5</v>
      </c>
      <c r="P17" s="98">
        <v>113.79</v>
      </c>
      <c r="Q17" s="14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4.25" customHeight="1">
      <c r="A18" s="1"/>
      <c r="B18" s="72">
        <v>4.5</v>
      </c>
      <c r="C18" s="90">
        <v>37.86</v>
      </c>
      <c r="D18" s="90">
        <v>60.56</v>
      </c>
      <c r="E18" s="90">
        <v>70.74</v>
      </c>
      <c r="F18" s="90">
        <v>86.58</v>
      </c>
      <c r="G18" s="90">
        <v>102.15</v>
      </c>
      <c r="H18" s="90">
        <v>114.21</v>
      </c>
      <c r="I18" s="1"/>
      <c r="J18" s="72">
        <v>4.5</v>
      </c>
      <c r="K18" s="90">
        <v>40.27</v>
      </c>
      <c r="L18" s="90">
        <v>64.46</v>
      </c>
      <c r="M18" s="90">
        <v>75.27</v>
      </c>
      <c r="N18" s="90">
        <v>92.11</v>
      </c>
      <c r="O18" s="90">
        <v>108.71</v>
      </c>
      <c r="P18" s="105">
        <v>121.47</v>
      </c>
      <c r="Q18" s="14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4.25" customHeight="1">
      <c r="A19" s="1"/>
      <c r="B19" s="96">
        <v>5.0</v>
      </c>
      <c r="C19" s="97">
        <v>40.07</v>
      </c>
      <c r="D19" s="97">
        <v>64.73</v>
      </c>
      <c r="E19" s="97">
        <v>77.89</v>
      </c>
      <c r="F19" s="97">
        <v>95.58</v>
      </c>
      <c r="G19" s="97">
        <v>108.95</v>
      </c>
      <c r="H19" s="97">
        <v>126.41</v>
      </c>
      <c r="I19" s="1"/>
      <c r="J19" s="96">
        <v>5.0</v>
      </c>
      <c r="K19" s="97">
        <v>42.64</v>
      </c>
      <c r="L19" s="97">
        <v>68.84</v>
      </c>
      <c r="M19" s="97">
        <v>82.85</v>
      </c>
      <c r="N19" s="97">
        <v>101.65</v>
      </c>
      <c r="O19" s="97">
        <v>115.88</v>
      </c>
      <c r="P19" s="98">
        <v>134.46</v>
      </c>
      <c r="Q19" s="14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4.25" customHeight="1">
      <c r="A20" s="1"/>
      <c r="B20" s="72">
        <v>5.5</v>
      </c>
      <c r="C20" s="90">
        <v>41.99</v>
      </c>
      <c r="D20" s="90">
        <v>68.37</v>
      </c>
      <c r="E20" s="90">
        <v>85.62</v>
      </c>
      <c r="F20" s="90">
        <v>104.86</v>
      </c>
      <c r="G20" s="90">
        <v>113.24</v>
      </c>
      <c r="H20" s="90">
        <v>126.88</v>
      </c>
      <c r="I20" s="1"/>
      <c r="J20" s="72">
        <v>5.5</v>
      </c>
      <c r="K20" s="90">
        <v>44.67</v>
      </c>
      <c r="L20" s="90">
        <v>72.77</v>
      </c>
      <c r="M20" s="90">
        <v>91.08</v>
      </c>
      <c r="N20" s="90">
        <v>111.57</v>
      </c>
      <c r="O20" s="90">
        <v>120.46</v>
      </c>
      <c r="P20" s="105">
        <v>134.99</v>
      </c>
      <c r="Q20" s="14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4.25" customHeight="1">
      <c r="A21" s="1"/>
      <c r="B21" s="96">
        <v>6.0</v>
      </c>
      <c r="C21" s="97">
        <v>44.07</v>
      </c>
      <c r="D21" s="97">
        <v>72.08</v>
      </c>
      <c r="E21" s="97">
        <v>90.57</v>
      </c>
      <c r="F21" s="97">
        <v>110.96</v>
      </c>
      <c r="G21" s="97">
        <v>117.53</v>
      </c>
      <c r="H21" s="97">
        <v>132.05</v>
      </c>
      <c r="I21" s="1"/>
      <c r="J21" s="96">
        <v>6.0</v>
      </c>
      <c r="K21" s="97">
        <v>46.88</v>
      </c>
      <c r="L21" s="97">
        <v>76.68</v>
      </c>
      <c r="M21" s="97">
        <v>96.36</v>
      </c>
      <c r="N21" s="97">
        <v>118.01</v>
      </c>
      <c r="O21" s="97">
        <v>125.02</v>
      </c>
      <c r="P21" s="98">
        <v>140.48</v>
      </c>
      <c r="Q21" s="14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4.25" customHeight="1">
      <c r="A22" s="1"/>
      <c r="B22" s="72">
        <v>6.5</v>
      </c>
      <c r="C22" s="90">
        <v>45.77</v>
      </c>
      <c r="D22" s="90">
        <v>76.07</v>
      </c>
      <c r="E22" s="90">
        <v>95.3</v>
      </c>
      <c r="F22" s="90">
        <v>116.71</v>
      </c>
      <c r="G22" s="90">
        <v>121.69</v>
      </c>
      <c r="H22" s="90">
        <v>137.55</v>
      </c>
      <c r="I22" s="1"/>
      <c r="J22" s="72">
        <v>6.5</v>
      </c>
      <c r="K22" s="90">
        <v>48.69</v>
      </c>
      <c r="L22" s="90">
        <v>80.93</v>
      </c>
      <c r="M22" s="90">
        <v>101.4</v>
      </c>
      <c r="N22" s="90">
        <v>124.15</v>
      </c>
      <c r="O22" s="90">
        <v>129.45</v>
      </c>
      <c r="P22" s="105">
        <v>146.33</v>
      </c>
      <c r="Q22" s="14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4.25" customHeight="1">
      <c r="A23" s="1"/>
      <c r="B23" s="96">
        <v>7.0</v>
      </c>
      <c r="C23" s="97">
        <v>47.71</v>
      </c>
      <c r="D23" s="97">
        <v>79.82</v>
      </c>
      <c r="E23" s="97">
        <v>99.91</v>
      </c>
      <c r="F23" s="97">
        <v>122.46</v>
      </c>
      <c r="G23" s="97">
        <v>125.94</v>
      </c>
      <c r="H23" s="97">
        <v>142.78</v>
      </c>
      <c r="I23" s="1"/>
      <c r="J23" s="96">
        <v>7.0</v>
      </c>
      <c r="K23" s="97">
        <v>50.73</v>
      </c>
      <c r="L23" s="97">
        <v>84.9</v>
      </c>
      <c r="M23" s="97">
        <v>106.29</v>
      </c>
      <c r="N23" s="97">
        <v>130.3</v>
      </c>
      <c r="O23" s="97">
        <v>133.99</v>
      </c>
      <c r="P23" s="98">
        <v>151.88</v>
      </c>
      <c r="Q23" s="14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4.25" customHeight="1">
      <c r="A24" s="1"/>
      <c r="B24" s="72">
        <v>7.5</v>
      </c>
      <c r="C24" s="90">
        <v>49.87</v>
      </c>
      <c r="D24" s="90">
        <v>83.21</v>
      </c>
      <c r="E24" s="90">
        <v>104.65</v>
      </c>
      <c r="F24" s="90">
        <v>128.3</v>
      </c>
      <c r="G24" s="90">
        <v>129.87</v>
      </c>
      <c r="H24" s="90">
        <v>147.95</v>
      </c>
      <c r="I24" s="1"/>
      <c r="J24" s="72">
        <v>7.5</v>
      </c>
      <c r="K24" s="90">
        <v>53.05</v>
      </c>
      <c r="L24" s="90">
        <v>88.5</v>
      </c>
      <c r="M24" s="90">
        <v>111.33</v>
      </c>
      <c r="N24" s="90">
        <v>136.46</v>
      </c>
      <c r="O24" s="90">
        <v>138.16</v>
      </c>
      <c r="P24" s="105">
        <v>157.4</v>
      </c>
      <c r="Q24" s="14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4.25" customHeight="1">
      <c r="A25" s="1"/>
      <c r="B25" s="96">
        <v>8.0</v>
      </c>
      <c r="C25" s="97">
        <v>51.75</v>
      </c>
      <c r="D25" s="97">
        <v>86.82</v>
      </c>
      <c r="E25" s="97">
        <v>108.89</v>
      </c>
      <c r="F25" s="97">
        <v>133.33</v>
      </c>
      <c r="G25" s="97">
        <v>134.08</v>
      </c>
      <c r="H25" s="97">
        <v>153.14</v>
      </c>
      <c r="I25" s="1"/>
      <c r="J25" s="96">
        <v>8.0</v>
      </c>
      <c r="K25" s="97">
        <v>55.03</v>
      </c>
      <c r="L25" s="97">
        <v>92.39</v>
      </c>
      <c r="M25" s="97">
        <v>115.82</v>
      </c>
      <c r="N25" s="97">
        <v>141.84</v>
      </c>
      <c r="O25" s="97">
        <v>142.62</v>
      </c>
      <c r="P25" s="98">
        <v>162.92</v>
      </c>
      <c r="Q25" s="14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4.25" customHeight="1">
      <c r="A26" s="1"/>
      <c r="B26" s="72">
        <v>8.5</v>
      </c>
      <c r="C26" s="90">
        <v>53.53</v>
      </c>
      <c r="D26" s="90">
        <v>90.3</v>
      </c>
      <c r="E26" s="90">
        <v>112.92</v>
      </c>
      <c r="F26" s="90">
        <v>138.22</v>
      </c>
      <c r="G26" s="90">
        <v>138.26</v>
      </c>
      <c r="H26" s="90">
        <v>158.17</v>
      </c>
      <c r="I26" s="1"/>
      <c r="J26" s="72">
        <v>8.5</v>
      </c>
      <c r="K26" s="90">
        <v>56.98</v>
      </c>
      <c r="L26" s="90">
        <v>96.09</v>
      </c>
      <c r="M26" s="90">
        <v>120.11</v>
      </c>
      <c r="N26" s="90">
        <v>147.06</v>
      </c>
      <c r="O26" s="90">
        <v>147.1</v>
      </c>
      <c r="P26" s="105">
        <v>168.27</v>
      </c>
      <c r="Q26" s="14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4.25" customHeight="1">
      <c r="A27" s="1"/>
      <c r="B27" s="96">
        <v>9.0</v>
      </c>
      <c r="C27" s="97">
        <v>55.38</v>
      </c>
      <c r="D27" s="97">
        <v>92.87</v>
      </c>
      <c r="E27" s="97">
        <v>116.89</v>
      </c>
      <c r="F27" s="97">
        <v>143.1</v>
      </c>
      <c r="G27" s="97">
        <v>143.83</v>
      </c>
      <c r="H27" s="97">
        <v>163.35</v>
      </c>
      <c r="I27" s="1"/>
      <c r="J27" s="96">
        <v>9.0</v>
      </c>
      <c r="K27" s="97">
        <v>58.93</v>
      </c>
      <c r="L27" s="97">
        <v>98.79</v>
      </c>
      <c r="M27" s="97">
        <v>124.33</v>
      </c>
      <c r="N27" s="97">
        <v>152.23</v>
      </c>
      <c r="O27" s="97">
        <v>153.05</v>
      </c>
      <c r="P27" s="98">
        <v>173.78</v>
      </c>
      <c r="Q27" s="14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4.25" customHeight="1">
      <c r="A28" s="1"/>
      <c r="B28" s="153">
        <v>9.5</v>
      </c>
      <c r="C28" s="90">
        <v>57.12</v>
      </c>
      <c r="D28" s="90">
        <v>96.06</v>
      </c>
      <c r="E28" s="90">
        <v>120.84</v>
      </c>
      <c r="F28" s="90">
        <v>148.03</v>
      </c>
      <c r="G28" s="90">
        <v>148.15</v>
      </c>
      <c r="H28" s="90">
        <v>168.53</v>
      </c>
      <c r="I28" s="1"/>
      <c r="J28" s="153">
        <v>9.5</v>
      </c>
      <c r="K28" s="90">
        <v>60.78</v>
      </c>
      <c r="L28" s="90">
        <v>102.18</v>
      </c>
      <c r="M28" s="90">
        <v>128.56</v>
      </c>
      <c r="N28" s="90">
        <v>157.48</v>
      </c>
      <c r="O28" s="90">
        <v>157.56</v>
      </c>
      <c r="P28" s="105">
        <v>179.28</v>
      </c>
      <c r="Q28" s="14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4.25" customHeight="1">
      <c r="A29" s="1"/>
      <c r="B29" s="96">
        <v>10.0</v>
      </c>
      <c r="C29" s="97">
        <v>58.86</v>
      </c>
      <c r="D29" s="97">
        <v>97.7</v>
      </c>
      <c r="E29" s="97">
        <v>124.66</v>
      </c>
      <c r="F29" s="97">
        <v>149.93</v>
      </c>
      <c r="G29" s="97">
        <v>150.68</v>
      </c>
      <c r="H29" s="97">
        <v>173.68</v>
      </c>
      <c r="I29" s="1"/>
      <c r="J29" s="96">
        <v>10.0</v>
      </c>
      <c r="K29" s="97">
        <v>62.61</v>
      </c>
      <c r="L29" s="97">
        <v>103.94</v>
      </c>
      <c r="M29" s="97">
        <v>132.64</v>
      </c>
      <c r="N29" s="97">
        <v>159.48</v>
      </c>
      <c r="O29" s="97">
        <v>160.32</v>
      </c>
      <c r="P29" s="98">
        <v>184.74</v>
      </c>
      <c r="Q29" s="14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4.25" customHeight="1">
      <c r="A30" s="1"/>
      <c r="B30" s="72">
        <v>10.5</v>
      </c>
      <c r="C30" s="90">
        <v>60.8</v>
      </c>
      <c r="D30" s="90">
        <v>99.62</v>
      </c>
      <c r="E30" s="90">
        <v>129.61</v>
      </c>
      <c r="F30" s="90">
        <v>154.15</v>
      </c>
      <c r="G30" s="90">
        <v>157.34</v>
      </c>
      <c r="H30" s="90">
        <v>174.56</v>
      </c>
      <c r="I30" s="1"/>
      <c r="J30" s="72">
        <v>10.5</v>
      </c>
      <c r="K30" s="90">
        <v>64.68</v>
      </c>
      <c r="L30" s="90">
        <v>105.99</v>
      </c>
      <c r="M30" s="90">
        <v>137.91</v>
      </c>
      <c r="N30" s="90">
        <v>163.98</v>
      </c>
      <c r="O30" s="90">
        <v>167.36</v>
      </c>
      <c r="P30" s="105">
        <v>185.69</v>
      </c>
      <c r="Q30" s="14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4.25" customHeight="1">
      <c r="A31" s="1"/>
      <c r="B31" s="96">
        <v>11.0</v>
      </c>
      <c r="C31" s="97">
        <v>61.84</v>
      </c>
      <c r="D31" s="97">
        <v>101.28</v>
      </c>
      <c r="E31" s="97">
        <v>134.54</v>
      </c>
      <c r="F31" s="97">
        <v>161.47</v>
      </c>
      <c r="G31" s="97">
        <v>162.66</v>
      </c>
      <c r="H31" s="97">
        <v>179.0</v>
      </c>
      <c r="I31" s="1"/>
      <c r="J31" s="96">
        <v>11.0</v>
      </c>
      <c r="K31" s="97">
        <v>65.79</v>
      </c>
      <c r="L31" s="97">
        <v>107.75</v>
      </c>
      <c r="M31" s="97">
        <v>143.13</v>
      </c>
      <c r="N31" s="97">
        <v>171.76</v>
      </c>
      <c r="O31" s="97">
        <v>173.04</v>
      </c>
      <c r="P31" s="98">
        <v>190.45</v>
      </c>
      <c r="Q31" s="14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4.25" customHeight="1">
      <c r="A32" s="1"/>
      <c r="B32" s="72">
        <v>11.5</v>
      </c>
      <c r="C32" s="90">
        <v>64.04</v>
      </c>
      <c r="D32" s="90">
        <v>103.08</v>
      </c>
      <c r="E32" s="90">
        <v>137.94</v>
      </c>
      <c r="F32" s="90">
        <v>163.24</v>
      </c>
      <c r="G32" s="90">
        <v>163.88</v>
      </c>
      <c r="H32" s="90">
        <v>183.31</v>
      </c>
      <c r="I32" s="1"/>
      <c r="J32" s="72">
        <v>11.5</v>
      </c>
      <c r="K32" s="90">
        <v>68.09</v>
      </c>
      <c r="L32" s="90">
        <v>109.64</v>
      </c>
      <c r="M32" s="90">
        <v>146.73</v>
      </c>
      <c r="N32" s="90">
        <v>173.68</v>
      </c>
      <c r="O32" s="90">
        <v>174.33</v>
      </c>
      <c r="P32" s="105">
        <v>195.03</v>
      </c>
      <c r="Q32" s="14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4.25" customHeight="1">
      <c r="A33" s="1"/>
      <c r="B33" s="96">
        <v>12.0</v>
      </c>
      <c r="C33" s="97">
        <v>65.03</v>
      </c>
      <c r="D33" s="97">
        <v>104.79</v>
      </c>
      <c r="E33" s="97">
        <v>141.02</v>
      </c>
      <c r="F33" s="97">
        <v>166.78</v>
      </c>
      <c r="G33" s="97">
        <v>166.84</v>
      </c>
      <c r="H33" s="97">
        <v>187.75</v>
      </c>
      <c r="I33" s="1"/>
      <c r="J33" s="96">
        <v>12.0</v>
      </c>
      <c r="K33" s="97">
        <v>69.17</v>
      </c>
      <c r="L33" s="97">
        <v>111.47</v>
      </c>
      <c r="M33" s="97">
        <v>150.02</v>
      </c>
      <c r="N33" s="97">
        <v>177.42</v>
      </c>
      <c r="O33" s="97">
        <v>177.5</v>
      </c>
      <c r="P33" s="98">
        <v>199.72</v>
      </c>
      <c r="Q33" s="14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4.25" customHeight="1">
      <c r="A34" s="1"/>
      <c r="B34" s="72">
        <v>12.5</v>
      </c>
      <c r="C34" s="90">
        <v>67.21</v>
      </c>
      <c r="D34" s="90">
        <v>106.49</v>
      </c>
      <c r="E34" s="90">
        <v>145.07</v>
      </c>
      <c r="F34" s="90">
        <v>171.48</v>
      </c>
      <c r="G34" s="90">
        <v>171.86</v>
      </c>
      <c r="H34" s="90">
        <v>192.11</v>
      </c>
      <c r="I34" s="1"/>
      <c r="J34" s="72">
        <v>12.5</v>
      </c>
      <c r="K34" s="90">
        <v>71.5</v>
      </c>
      <c r="L34" s="90">
        <v>113.25</v>
      </c>
      <c r="M34" s="90">
        <v>154.31</v>
      </c>
      <c r="N34" s="90">
        <v>182.39</v>
      </c>
      <c r="O34" s="90">
        <v>182.87</v>
      </c>
      <c r="P34" s="105">
        <v>204.36</v>
      </c>
      <c r="Q34" s="14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4.25" customHeight="1">
      <c r="A35" s="1"/>
      <c r="B35" s="96">
        <v>13.0</v>
      </c>
      <c r="C35" s="97">
        <v>68.5</v>
      </c>
      <c r="D35" s="97">
        <v>107.75</v>
      </c>
      <c r="E35" s="97">
        <v>148.18</v>
      </c>
      <c r="F35" s="97">
        <v>175.44</v>
      </c>
      <c r="G35" s="97">
        <v>175.72</v>
      </c>
      <c r="H35" s="97">
        <v>196.53</v>
      </c>
      <c r="I35" s="1"/>
      <c r="J35" s="96">
        <v>13.0</v>
      </c>
      <c r="K35" s="97">
        <v>72.89</v>
      </c>
      <c r="L35" s="97">
        <v>114.65</v>
      </c>
      <c r="M35" s="97">
        <v>157.64</v>
      </c>
      <c r="N35" s="97">
        <v>186.63</v>
      </c>
      <c r="O35" s="97">
        <v>186.9</v>
      </c>
      <c r="P35" s="98">
        <v>209.11</v>
      </c>
      <c r="Q35" s="14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4.25" customHeight="1">
      <c r="A36" s="1"/>
      <c r="B36" s="72">
        <v>13.5</v>
      </c>
      <c r="C36" s="90">
        <v>70.47</v>
      </c>
      <c r="D36" s="90">
        <v>110.39</v>
      </c>
      <c r="E36" s="90">
        <v>151.8</v>
      </c>
      <c r="F36" s="90">
        <v>179.57</v>
      </c>
      <c r="G36" s="90">
        <v>179.84</v>
      </c>
      <c r="H36" s="90">
        <v>200.93</v>
      </c>
      <c r="I36" s="1"/>
      <c r="J36" s="72">
        <v>13.5</v>
      </c>
      <c r="K36" s="90">
        <v>75.01</v>
      </c>
      <c r="L36" s="90">
        <v>117.45</v>
      </c>
      <c r="M36" s="90">
        <v>161.49</v>
      </c>
      <c r="N36" s="90">
        <v>191.05</v>
      </c>
      <c r="O36" s="90">
        <v>191.31</v>
      </c>
      <c r="P36" s="105">
        <v>213.72</v>
      </c>
      <c r="Q36" s="14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4.25" customHeight="1">
      <c r="A37" s="1"/>
      <c r="B37" s="96">
        <v>14.0</v>
      </c>
      <c r="C37" s="97">
        <v>71.42</v>
      </c>
      <c r="D37" s="97">
        <v>112.92</v>
      </c>
      <c r="E37" s="97">
        <v>154.55</v>
      </c>
      <c r="F37" s="97">
        <v>182.99</v>
      </c>
      <c r="G37" s="97">
        <v>183.2</v>
      </c>
      <c r="H37" s="97">
        <v>205.3</v>
      </c>
      <c r="I37" s="1"/>
      <c r="J37" s="96">
        <v>14.0</v>
      </c>
      <c r="K37" s="97">
        <v>76.01</v>
      </c>
      <c r="L37" s="97">
        <v>120.14</v>
      </c>
      <c r="M37" s="97">
        <v>164.43</v>
      </c>
      <c r="N37" s="97">
        <v>194.68</v>
      </c>
      <c r="O37" s="97">
        <v>194.9</v>
      </c>
      <c r="P37" s="98">
        <v>218.36</v>
      </c>
      <c r="Q37" s="14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4.25" customHeight="1">
      <c r="A38" s="1"/>
      <c r="B38" s="72">
        <v>14.5</v>
      </c>
      <c r="C38" s="90">
        <v>73.61</v>
      </c>
      <c r="D38" s="90">
        <v>114.96</v>
      </c>
      <c r="E38" s="90">
        <v>158.31</v>
      </c>
      <c r="F38" s="90">
        <v>187.41</v>
      </c>
      <c r="G38" s="90">
        <v>187.59</v>
      </c>
      <c r="H38" s="90">
        <v>209.57</v>
      </c>
      <c r="I38" s="1"/>
      <c r="J38" s="72">
        <v>14.5</v>
      </c>
      <c r="K38" s="90">
        <v>78.3</v>
      </c>
      <c r="L38" s="90">
        <v>122.28</v>
      </c>
      <c r="M38" s="90">
        <v>168.42</v>
      </c>
      <c r="N38" s="90">
        <v>199.36</v>
      </c>
      <c r="O38" s="90">
        <v>199.59</v>
      </c>
      <c r="P38" s="105">
        <v>222.98</v>
      </c>
      <c r="Q38" s="14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4.25" customHeight="1">
      <c r="A39" s="1"/>
      <c r="B39" s="96">
        <v>15.0</v>
      </c>
      <c r="C39" s="97">
        <v>74.76</v>
      </c>
      <c r="D39" s="97">
        <v>116.85</v>
      </c>
      <c r="E39" s="97">
        <v>160.97</v>
      </c>
      <c r="F39" s="97">
        <v>190.48</v>
      </c>
      <c r="G39" s="97">
        <v>190.75</v>
      </c>
      <c r="H39" s="97">
        <v>213.99</v>
      </c>
      <c r="I39" s="1"/>
      <c r="J39" s="96">
        <v>15.0</v>
      </c>
      <c r="K39" s="97">
        <v>79.51</v>
      </c>
      <c r="L39" s="97">
        <v>124.35</v>
      </c>
      <c r="M39" s="97">
        <v>171.25</v>
      </c>
      <c r="N39" s="97">
        <v>202.64</v>
      </c>
      <c r="O39" s="97">
        <v>202.92</v>
      </c>
      <c r="P39" s="98">
        <v>227.66</v>
      </c>
      <c r="Q39" s="14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4.25" customHeight="1">
      <c r="A40" s="1"/>
      <c r="B40" s="72">
        <v>15.5</v>
      </c>
      <c r="C40" s="90">
        <v>77.0</v>
      </c>
      <c r="D40" s="90">
        <v>119.1</v>
      </c>
      <c r="E40" s="90">
        <v>166.1</v>
      </c>
      <c r="F40" s="90">
        <v>196.53</v>
      </c>
      <c r="G40" s="90">
        <v>196.89</v>
      </c>
      <c r="H40" s="90">
        <v>218.3</v>
      </c>
      <c r="I40" s="1"/>
      <c r="J40" s="72">
        <v>15.5</v>
      </c>
      <c r="K40" s="90">
        <v>81.91</v>
      </c>
      <c r="L40" s="90">
        <v>126.75</v>
      </c>
      <c r="M40" s="90">
        <v>176.69</v>
      </c>
      <c r="N40" s="90">
        <v>209.11</v>
      </c>
      <c r="O40" s="90">
        <v>209.46</v>
      </c>
      <c r="P40" s="105">
        <v>232.23</v>
      </c>
      <c r="Q40" s="14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4.25" customHeight="1">
      <c r="A41" s="1"/>
      <c r="B41" s="96">
        <v>16.0</v>
      </c>
      <c r="C41" s="97">
        <v>78.87</v>
      </c>
      <c r="D41" s="97">
        <v>121.31</v>
      </c>
      <c r="E41" s="97">
        <v>170.04</v>
      </c>
      <c r="F41" s="97">
        <v>201.27</v>
      </c>
      <c r="G41" s="97">
        <v>201.6</v>
      </c>
      <c r="H41" s="97">
        <v>222.73</v>
      </c>
      <c r="I41" s="1"/>
      <c r="J41" s="96">
        <v>16.0</v>
      </c>
      <c r="K41" s="97">
        <v>83.92</v>
      </c>
      <c r="L41" s="97">
        <v>129.09</v>
      </c>
      <c r="M41" s="97">
        <v>180.88</v>
      </c>
      <c r="N41" s="97">
        <v>214.1</v>
      </c>
      <c r="O41" s="97">
        <v>214.47</v>
      </c>
      <c r="P41" s="98">
        <v>236.95</v>
      </c>
      <c r="Q41" s="14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>
      <c r="A42" s="1"/>
      <c r="B42" s="72">
        <v>16.5</v>
      </c>
      <c r="C42" s="90">
        <v>81.28</v>
      </c>
      <c r="D42" s="90">
        <v>123.57</v>
      </c>
      <c r="E42" s="90">
        <v>173.66</v>
      </c>
      <c r="F42" s="90">
        <v>205.62</v>
      </c>
      <c r="G42" s="90">
        <v>206.1</v>
      </c>
      <c r="H42" s="90">
        <v>227.19</v>
      </c>
      <c r="I42" s="1"/>
      <c r="J42" s="72">
        <v>16.5</v>
      </c>
      <c r="K42" s="90">
        <v>86.46</v>
      </c>
      <c r="L42" s="90">
        <v>131.45</v>
      </c>
      <c r="M42" s="90">
        <v>184.72</v>
      </c>
      <c r="N42" s="90">
        <v>218.73</v>
      </c>
      <c r="O42" s="90">
        <v>219.25</v>
      </c>
      <c r="P42" s="105">
        <v>241.68</v>
      </c>
      <c r="Q42" s="14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4.25" customHeight="1">
      <c r="A43" s="1"/>
      <c r="B43" s="96">
        <v>17.0</v>
      </c>
      <c r="C43" s="97">
        <v>82.94</v>
      </c>
      <c r="D43" s="97">
        <v>125.73</v>
      </c>
      <c r="E43" s="97">
        <v>176.34</v>
      </c>
      <c r="F43" s="97">
        <v>208.82</v>
      </c>
      <c r="G43" s="97">
        <v>209.01</v>
      </c>
      <c r="H43" s="97">
        <v>231.49</v>
      </c>
      <c r="I43" s="1"/>
      <c r="J43" s="96">
        <v>17.0</v>
      </c>
      <c r="K43" s="97">
        <v>88.21</v>
      </c>
      <c r="L43" s="97">
        <v>133.74</v>
      </c>
      <c r="M43" s="97">
        <v>187.59</v>
      </c>
      <c r="N43" s="97">
        <v>222.14</v>
      </c>
      <c r="O43" s="97">
        <v>222.37</v>
      </c>
      <c r="P43" s="98">
        <v>246.3</v>
      </c>
      <c r="Q43" s="14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1"/>
      <c r="B44" s="72">
        <v>17.5</v>
      </c>
      <c r="C44" s="90">
        <v>85.24</v>
      </c>
      <c r="D44" s="90">
        <v>127.52</v>
      </c>
      <c r="E44" s="90">
        <v>179.82</v>
      </c>
      <c r="F44" s="90">
        <v>212.65</v>
      </c>
      <c r="G44" s="90">
        <v>212.99</v>
      </c>
      <c r="H44" s="90">
        <v>235.79</v>
      </c>
      <c r="I44" s="1"/>
      <c r="J44" s="72">
        <v>17.5</v>
      </c>
      <c r="K44" s="90">
        <v>90.7</v>
      </c>
      <c r="L44" s="90">
        <v>135.69</v>
      </c>
      <c r="M44" s="90">
        <v>191.3</v>
      </c>
      <c r="N44" s="90">
        <v>226.2</v>
      </c>
      <c r="O44" s="90">
        <v>226.59</v>
      </c>
      <c r="P44" s="105">
        <v>250.87</v>
      </c>
      <c r="Q44" s="14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1"/>
      <c r="B45" s="96">
        <v>18.0</v>
      </c>
      <c r="C45" s="97">
        <v>86.94</v>
      </c>
      <c r="D45" s="97">
        <v>128.91</v>
      </c>
      <c r="E45" s="97">
        <v>182.48</v>
      </c>
      <c r="F45" s="97">
        <v>216.74</v>
      </c>
      <c r="G45" s="97">
        <v>217.1</v>
      </c>
      <c r="H45" s="97">
        <v>240.27</v>
      </c>
      <c r="I45" s="1"/>
      <c r="J45" s="96">
        <v>18.0</v>
      </c>
      <c r="K45" s="97">
        <v>92.47</v>
      </c>
      <c r="L45" s="97">
        <v>137.16</v>
      </c>
      <c r="M45" s="97">
        <v>194.12</v>
      </c>
      <c r="N45" s="97">
        <v>230.57</v>
      </c>
      <c r="O45" s="97">
        <v>230.97</v>
      </c>
      <c r="P45" s="98">
        <v>255.58</v>
      </c>
      <c r="Q45" s="14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1"/>
      <c r="B46" s="72">
        <v>18.5</v>
      </c>
      <c r="C46" s="90">
        <v>89.13</v>
      </c>
      <c r="D46" s="90">
        <v>130.38</v>
      </c>
      <c r="E46" s="90">
        <v>186.02</v>
      </c>
      <c r="F46" s="90">
        <v>222.08</v>
      </c>
      <c r="G46" s="90">
        <v>222.26</v>
      </c>
      <c r="H46" s="90">
        <v>244.61</v>
      </c>
      <c r="I46" s="1"/>
      <c r="J46" s="72">
        <v>18.5</v>
      </c>
      <c r="K46" s="90">
        <v>94.81</v>
      </c>
      <c r="L46" s="90">
        <v>138.72</v>
      </c>
      <c r="M46" s="90">
        <v>197.88</v>
      </c>
      <c r="N46" s="90">
        <v>236.28</v>
      </c>
      <c r="O46" s="90">
        <v>236.43</v>
      </c>
      <c r="P46" s="105">
        <v>260.22</v>
      </c>
      <c r="Q46" s="14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1"/>
      <c r="B47" s="96">
        <v>19.0</v>
      </c>
      <c r="C47" s="97">
        <v>91.13</v>
      </c>
      <c r="D47" s="97">
        <v>131.78</v>
      </c>
      <c r="E47" s="97">
        <v>188.72</v>
      </c>
      <c r="F47" s="97">
        <v>227.15</v>
      </c>
      <c r="G47" s="97">
        <v>227.36</v>
      </c>
      <c r="H47" s="97">
        <v>248.99</v>
      </c>
      <c r="I47" s="1"/>
      <c r="J47" s="96">
        <v>19.0</v>
      </c>
      <c r="K47" s="97">
        <v>96.95</v>
      </c>
      <c r="L47" s="97">
        <v>140.16</v>
      </c>
      <c r="M47" s="97">
        <v>200.76</v>
      </c>
      <c r="N47" s="97">
        <v>241.67</v>
      </c>
      <c r="O47" s="97">
        <v>241.87</v>
      </c>
      <c r="P47" s="98">
        <v>264.86</v>
      </c>
      <c r="Q47" s="14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>
      <c r="A48" s="1"/>
      <c r="B48" s="153">
        <v>19.5</v>
      </c>
      <c r="C48" s="90">
        <v>93.47</v>
      </c>
      <c r="D48" s="90">
        <v>133.29</v>
      </c>
      <c r="E48" s="90">
        <v>192.38</v>
      </c>
      <c r="F48" s="90">
        <v>232.84</v>
      </c>
      <c r="G48" s="90">
        <v>233.12</v>
      </c>
      <c r="H48" s="90">
        <v>253.46</v>
      </c>
      <c r="I48" s="1"/>
      <c r="J48" s="153">
        <v>19.5</v>
      </c>
      <c r="K48" s="90">
        <v>99.42</v>
      </c>
      <c r="L48" s="90">
        <v>141.8</v>
      </c>
      <c r="M48" s="90">
        <v>204.66</v>
      </c>
      <c r="N48" s="90">
        <v>247.72</v>
      </c>
      <c r="O48" s="90">
        <v>248.01</v>
      </c>
      <c r="P48" s="105">
        <v>269.62</v>
      </c>
      <c r="Q48" s="14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1"/>
      <c r="B49" s="96">
        <v>20.0</v>
      </c>
      <c r="C49" s="97">
        <v>94.65</v>
      </c>
      <c r="D49" s="97">
        <v>135.14</v>
      </c>
      <c r="E49" s="97">
        <v>195.7</v>
      </c>
      <c r="F49" s="97">
        <v>238.49</v>
      </c>
      <c r="G49" s="97">
        <v>238.71</v>
      </c>
      <c r="H49" s="97">
        <v>257.73</v>
      </c>
      <c r="I49" s="1"/>
      <c r="J49" s="96">
        <v>20.0</v>
      </c>
      <c r="K49" s="97">
        <v>100.71</v>
      </c>
      <c r="L49" s="97">
        <v>143.78</v>
      </c>
      <c r="M49" s="97">
        <v>208.19</v>
      </c>
      <c r="N49" s="97">
        <v>253.67</v>
      </c>
      <c r="O49" s="97">
        <v>253.93</v>
      </c>
      <c r="P49" s="98">
        <v>274.18</v>
      </c>
      <c r="Q49" s="14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>
      <c r="A50" s="1"/>
      <c r="B50" s="72">
        <v>20.5</v>
      </c>
      <c r="C50" s="90">
        <v>96.53</v>
      </c>
      <c r="D50" s="90">
        <v>137.03</v>
      </c>
      <c r="E50" s="90">
        <v>200.09</v>
      </c>
      <c r="F50" s="90">
        <v>238.55</v>
      </c>
      <c r="G50" s="90">
        <v>241.71</v>
      </c>
      <c r="H50" s="90">
        <v>262.09</v>
      </c>
      <c r="I50" s="1"/>
      <c r="J50" s="72">
        <v>20.5</v>
      </c>
      <c r="K50" s="90">
        <v>102.66</v>
      </c>
      <c r="L50" s="90">
        <v>145.82</v>
      </c>
      <c r="M50" s="90">
        <v>212.86</v>
      </c>
      <c r="N50" s="90">
        <v>253.81</v>
      </c>
      <c r="O50" s="90">
        <v>257.15</v>
      </c>
      <c r="P50" s="105">
        <v>278.84</v>
      </c>
      <c r="Q50" s="14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>
      <c r="A51" s="1"/>
      <c r="B51" s="96">
        <v>21.0</v>
      </c>
      <c r="C51" s="97">
        <v>97.76</v>
      </c>
      <c r="D51" s="97">
        <v>138.39</v>
      </c>
      <c r="E51" s="97">
        <v>204.8</v>
      </c>
      <c r="F51" s="97">
        <v>242.98</v>
      </c>
      <c r="G51" s="97">
        <v>247.57</v>
      </c>
      <c r="H51" s="97">
        <v>266.44</v>
      </c>
      <c r="I51" s="1"/>
      <c r="J51" s="96">
        <v>21.0</v>
      </c>
      <c r="K51" s="97">
        <v>103.97</v>
      </c>
      <c r="L51" s="97">
        <v>147.27</v>
      </c>
      <c r="M51" s="97">
        <v>217.89</v>
      </c>
      <c r="N51" s="97">
        <v>258.49</v>
      </c>
      <c r="O51" s="97">
        <v>263.37</v>
      </c>
      <c r="P51" s="98">
        <v>283.43</v>
      </c>
      <c r="Q51" s="14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1"/>
      <c r="B52" s="72">
        <v>21.5</v>
      </c>
      <c r="C52" s="90">
        <v>99.65</v>
      </c>
      <c r="D52" s="90">
        <v>141.63</v>
      </c>
      <c r="E52" s="90">
        <v>207.52</v>
      </c>
      <c r="F52" s="90">
        <v>246.13</v>
      </c>
      <c r="G52" s="90">
        <v>253.38</v>
      </c>
      <c r="H52" s="90">
        <v>270.88</v>
      </c>
      <c r="I52" s="1"/>
      <c r="J52" s="72">
        <v>21.5</v>
      </c>
      <c r="K52" s="90">
        <v>105.99</v>
      </c>
      <c r="L52" s="90">
        <v>150.71</v>
      </c>
      <c r="M52" s="90">
        <v>220.76</v>
      </c>
      <c r="N52" s="90">
        <v>261.85</v>
      </c>
      <c r="O52" s="90">
        <v>269.56</v>
      </c>
      <c r="P52" s="105">
        <v>288.17</v>
      </c>
      <c r="Q52" s="14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>
      <c r="A53" s="1"/>
      <c r="B53" s="96">
        <v>22.0</v>
      </c>
      <c r="C53" s="97">
        <v>101.87</v>
      </c>
      <c r="D53" s="97">
        <v>144.38</v>
      </c>
      <c r="E53" s="97">
        <v>210.17</v>
      </c>
      <c r="F53" s="97">
        <v>250.52</v>
      </c>
      <c r="G53" s="97">
        <v>259.19</v>
      </c>
      <c r="H53" s="97">
        <v>275.3</v>
      </c>
      <c r="I53" s="1"/>
      <c r="J53" s="96">
        <v>22.0</v>
      </c>
      <c r="K53" s="97">
        <v>108.38</v>
      </c>
      <c r="L53" s="97">
        <v>153.6</v>
      </c>
      <c r="M53" s="97">
        <v>223.55</v>
      </c>
      <c r="N53" s="97">
        <v>266.53</v>
      </c>
      <c r="O53" s="97">
        <v>275.7</v>
      </c>
      <c r="P53" s="98">
        <v>292.86</v>
      </c>
      <c r="Q53" s="14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>
      <c r="A54" s="1"/>
      <c r="B54" s="72">
        <v>22.5</v>
      </c>
      <c r="C54" s="90">
        <v>103.47</v>
      </c>
      <c r="D54" s="90">
        <v>147.59</v>
      </c>
      <c r="E54" s="90">
        <v>214.5</v>
      </c>
      <c r="F54" s="90">
        <v>255.75</v>
      </c>
      <c r="G54" s="90">
        <v>264.95</v>
      </c>
      <c r="H54" s="90">
        <v>279.62</v>
      </c>
      <c r="I54" s="1"/>
      <c r="J54" s="72">
        <v>22.5</v>
      </c>
      <c r="K54" s="90">
        <v>110.06</v>
      </c>
      <c r="L54" s="90">
        <v>157.01</v>
      </c>
      <c r="M54" s="90">
        <v>228.18</v>
      </c>
      <c r="N54" s="90">
        <v>272.06</v>
      </c>
      <c r="O54" s="90">
        <v>281.89</v>
      </c>
      <c r="P54" s="105">
        <v>297.49</v>
      </c>
      <c r="Q54" s="14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>
      <c r="A55" s="1"/>
      <c r="B55" s="96">
        <v>23.0</v>
      </c>
      <c r="C55" s="97">
        <v>105.76</v>
      </c>
      <c r="D55" s="97">
        <v>150.0</v>
      </c>
      <c r="E55" s="97">
        <v>218.17</v>
      </c>
      <c r="F55" s="97">
        <v>258.82</v>
      </c>
      <c r="G55" s="97">
        <v>268.26</v>
      </c>
      <c r="H55" s="97">
        <v>283.96</v>
      </c>
      <c r="I55" s="1"/>
      <c r="J55" s="96">
        <v>23.0</v>
      </c>
      <c r="K55" s="97">
        <v>112.52</v>
      </c>
      <c r="L55" s="97">
        <v>159.57</v>
      </c>
      <c r="M55" s="97">
        <v>232.09</v>
      </c>
      <c r="N55" s="97">
        <v>275.35</v>
      </c>
      <c r="O55" s="97">
        <v>285.36</v>
      </c>
      <c r="P55" s="98">
        <v>302.09</v>
      </c>
      <c r="Q55" s="14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>
      <c r="A56" s="1"/>
      <c r="B56" s="72">
        <v>23.5</v>
      </c>
      <c r="C56" s="90">
        <v>107.82</v>
      </c>
      <c r="D56" s="90">
        <v>153.2</v>
      </c>
      <c r="E56" s="90">
        <v>222.86</v>
      </c>
      <c r="F56" s="90">
        <v>264.36</v>
      </c>
      <c r="G56" s="90">
        <v>272.61</v>
      </c>
      <c r="H56" s="90">
        <v>288.33</v>
      </c>
      <c r="I56" s="1"/>
      <c r="J56" s="72">
        <v>23.5</v>
      </c>
      <c r="K56" s="90">
        <v>114.71</v>
      </c>
      <c r="L56" s="90">
        <v>162.95</v>
      </c>
      <c r="M56" s="90">
        <v>237.09</v>
      </c>
      <c r="N56" s="90">
        <v>281.23</v>
      </c>
      <c r="O56" s="90">
        <v>290.02</v>
      </c>
      <c r="P56" s="105">
        <v>306.74</v>
      </c>
      <c r="Q56" s="14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>
      <c r="A57" s="1"/>
      <c r="B57" s="96">
        <v>24.0</v>
      </c>
      <c r="C57" s="97">
        <v>110.1</v>
      </c>
      <c r="D57" s="97">
        <v>155.93</v>
      </c>
      <c r="E57" s="97">
        <v>226.62</v>
      </c>
      <c r="F57" s="97">
        <v>269.59</v>
      </c>
      <c r="G57" s="97">
        <v>272.7</v>
      </c>
      <c r="H57" s="97">
        <v>292.73</v>
      </c>
      <c r="I57" s="1"/>
      <c r="J57" s="96">
        <v>24.0</v>
      </c>
      <c r="K57" s="97">
        <v>117.13</v>
      </c>
      <c r="L57" s="97">
        <v>165.87</v>
      </c>
      <c r="M57" s="97">
        <v>241.11</v>
      </c>
      <c r="N57" s="97">
        <v>286.81</v>
      </c>
      <c r="O57" s="97">
        <v>290.11</v>
      </c>
      <c r="P57" s="98">
        <v>311.43</v>
      </c>
      <c r="Q57" s="14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4.25" customHeight="1">
      <c r="A58" s="1"/>
      <c r="B58" s="72">
        <v>24.5</v>
      </c>
      <c r="C58" s="90">
        <v>112.27</v>
      </c>
      <c r="D58" s="90">
        <v>159.09</v>
      </c>
      <c r="E58" s="90">
        <v>230.41</v>
      </c>
      <c r="F58" s="90">
        <v>274.4</v>
      </c>
      <c r="G58" s="90">
        <v>277.33</v>
      </c>
      <c r="H58" s="90">
        <v>297.15</v>
      </c>
      <c r="I58" s="1"/>
      <c r="J58" s="72">
        <v>24.5</v>
      </c>
      <c r="K58" s="90">
        <v>119.46</v>
      </c>
      <c r="L58" s="90">
        <v>169.25</v>
      </c>
      <c r="M58" s="90">
        <v>245.08</v>
      </c>
      <c r="N58" s="90">
        <v>291.9</v>
      </c>
      <c r="O58" s="90">
        <v>295.02</v>
      </c>
      <c r="P58" s="105">
        <v>316.12</v>
      </c>
      <c r="Q58" s="14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4.25" customHeight="1">
      <c r="A59" s="1"/>
      <c r="B59" s="96">
        <v>25.0</v>
      </c>
      <c r="C59" s="97">
        <v>114.3</v>
      </c>
      <c r="D59" s="97">
        <v>161.82</v>
      </c>
      <c r="E59" s="97">
        <v>234.18</v>
      </c>
      <c r="F59" s="97">
        <v>279.9</v>
      </c>
      <c r="G59" s="97">
        <v>281.89</v>
      </c>
      <c r="H59" s="97">
        <v>301.51</v>
      </c>
      <c r="I59" s="1"/>
      <c r="J59" s="96">
        <v>25.0</v>
      </c>
      <c r="K59" s="97">
        <v>121.64</v>
      </c>
      <c r="L59" s="97">
        <v>172.1</v>
      </c>
      <c r="M59" s="97">
        <v>249.1</v>
      </c>
      <c r="N59" s="97">
        <v>297.79</v>
      </c>
      <c r="O59" s="97">
        <v>299.87</v>
      </c>
      <c r="P59" s="98">
        <v>320.78</v>
      </c>
      <c r="Q59" s="14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4.25" customHeight="1">
      <c r="A60" s="1"/>
      <c r="B60" s="72">
        <v>25.5</v>
      </c>
      <c r="C60" s="90">
        <v>116.51</v>
      </c>
      <c r="D60" s="90">
        <v>164.91</v>
      </c>
      <c r="E60" s="90">
        <v>238.04</v>
      </c>
      <c r="F60" s="90">
        <v>284.38</v>
      </c>
      <c r="G60" s="90">
        <v>286.26</v>
      </c>
      <c r="H60" s="90">
        <v>305.94</v>
      </c>
      <c r="I60" s="1"/>
      <c r="J60" s="72">
        <v>25.5</v>
      </c>
      <c r="K60" s="90">
        <v>123.94</v>
      </c>
      <c r="L60" s="90">
        <v>175.47</v>
      </c>
      <c r="M60" s="90">
        <v>253.24</v>
      </c>
      <c r="N60" s="90">
        <v>302.55</v>
      </c>
      <c r="O60" s="90">
        <v>304.53</v>
      </c>
      <c r="P60" s="105">
        <v>325.47</v>
      </c>
      <c r="Q60" s="14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4.25" customHeight="1">
      <c r="A61" s="1"/>
      <c r="B61" s="96">
        <v>26.0</v>
      </c>
      <c r="C61" s="97">
        <v>118.55</v>
      </c>
      <c r="D61" s="97">
        <v>167.64</v>
      </c>
      <c r="E61" s="97">
        <v>241.68</v>
      </c>
      <c r="F61" s="97">
        <v>288.9</v>
      </c>
      <c r="G61" s="97">
        <v>290.89</v>
      </c>
      <c r="H61" s="97">
        <v>310.18</v>
      </c>
      <c r="I61" s="1"/>
      <c r="J61" s="96">
        <v>26.0</v>
      </c>
      <c r="K61" s="97">
        <v>126.11</v>
      </c>
      <c r="L61" s="97">
        <v>178.34</v>
      </c>
      <c r="M61" s="97">
        <v>257.08</v>
      </c>
      <c r="N61" s="97">
        <v>307.33</v>
      </c>
      <c r="O61" s="97">
        <v>309.41</v>
      </c>
      <c r="P61" s="98">
        <v>329.99</v>
      </c>
      <c r="Q61" s="14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>
      <c r="A62" s="1"/>
      <c r="B62" s="72">
        <v>26.5</v>
      </c>
      <c r="C62" s="90">
        <v>120.68</v>
      </c>
      <c r="D62" s="90">
        <v>170.82</v>
      </c>
      <c r="E62" s="90">
        <v>245.47</v>
      </c>
      <c r="F62" s="90">
        <v>293.45</v>
      </c>
      <c r="G62" s="90">
        <v>295.37</v>
      </c>
      <c r="H62" s="90">
        <v>314.56</v>
      </c>
      <c r="I62" s="1"/>
      <c r="J62" s="72">
        <v>26.5</v>
      </c>
      <c r="K62" s="90">
        <v>128.35</v>
      </c>
      <c r="L62" s="90">
        <v>181.73</v>
      </c>
      <c r="M62" s="90">
        <v>261.14</v>
      </c>
      <c r="N62" s="90">
        <v>312.17</v>
      </c>
      <c r="O62" s="90">
        <v>314.26</v>
      </c>
      <c r="P62" s="105">
        <v>334.66</v>
      </c>
      <c r="Q62" s="14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4.25" customHeight="1">
      <c r="A63" s="1"/>
      <c r="B63" s="96">
        <v>27.0</v>
      </c>
      <c r="C63" s="97">
        <v>122.81</v>
      </c>
      <c r="D63" s="97">
        <v>173.49</v>
      </c>
      <c r="E63" s="97">
        <v>249.3</v>
      </c>
      <c r="F63" s="97">
        <v>297.92</v>
      </c>
      <c r="G63" s="97">
        <v>299.94</v>
      </c>
      <c r="H63" s="97">
        <v>318.96</v>
      </c>
      <c r="I63" s="1"/>
      <c r="J63" s="96">
        <v>27.0</v>
      </c>
      <c r="K63" s="97">
        <v>130.65</v>
      </c>
      <c r="L63" s="97">
        <v>184.56</v>
      </c>
      <c r="M63" s="97">
        <v>265.18</v>
      </c>
      <c r="N63" s="97">
        <v>316.95</v>
      </c>
      <c r="O63" s="97">
        <v>319.07</v>
      </c>
      <c r="P63" s="98">
        <v>339.31</v>
      </c>
      <c r="Q63" s="14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>
      <c r="A64" s="1"/>
      <c r="B64" s="72">
        <v>27.5</v>
      </c>
      <c r="C64" s="90">
        <v>125.06</v>
      </c>
      <c r="D64" s="90">
        <v>176.6</v>
      </c>
      <c r="E64" s="90">
        <v>253.04</v>
      </c>
      <c r="F64" s="90">
        <v>302.42</v>
      </c>
      <c r="G64" s="90">
        <v>304.41</v>
      </c>
      <c r="H64" s="90">
        <v>323.35</v>
      </c>
      <c r="I64" s="1"/>
      <c r="J64" s="72">
        <v>27.5</v>
      </c>
      <c r="K64" s="90">
        <v>133.04</v>
      </c>
      <c r="L64" s="90">
        <v>187.82</v>
      </c>
      <c r="M64" s="90">
        <v>269.18</v>
      </c>
      <c r="N64" s="90">
        <v>321.74</v>
      </c>
      <c r="O64" s="90">
        <v>323.82</v>
      </c>
      <c r="P64" s="105">
        <v>343.98</v>
      </c>
      <c r="Q64" s="14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96">
        <v>28.0</v>
      </c>
      <c r="C65" s="97">
        <v>127.1</v>
      </c>
      <c r="D65" s="97">
        <v>179.34</v>
      </c>
      <c r="E65" s="97">
        <v>256.82</v>
      </c>
      <c r="F65" s="97">
        <v>306.92</v>
      </c>
      <c r="G65" s="97">
        <v>308.88</v>
      </c>
      <c r="H65" s="97">
        <v>327.78</v>
      </c>
      <c r="I65" s="1"/>
      <c r="J65" s="96">
        <v>28.0</v>
      </c>
      <c r="K65" s="97">
        <v>135.23</v>
      </c>
      <c r="L65" s="97">
        <v>190.79</v>
      </c>
      <c r="M65" s="97">
        <v>273.19</v>
      </c>
      <c r="N65" s="97">
        <v>326.48</v>
      </c>
      <c r="O65" s="97">
        <v>328.59</v>
      </c>
      <c r="P65" s="98">
        <v>348.69</v>
      </c>
      <c r="Q65" s="14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72">
        <v>28.5</v>
      </c>
      <c r="C66" s="90">
        <v>129.1</v>
      </c>
      <c r="D66" s="90">
        <v>182.49</v>
      </c>
      <c r="E66" s="90">
        <v>260.51</v>
      </c>
      <c r="F66" s="90">
        <v>311.31</v>
      </c>
      <c r="G66" s="90">
        <v>313.37</v>
      </c>
      <c r="H66" s="90">
        <v>332.18</v>
      </c>
      <c r="I66" s="1"/>
      <c r="J66" s="72">
        <v>28.5</v>
      </c>
      <c r="K66" s="90">
        <v>137.35</v>
      </c>
      <c r="L66" s="90">
        <v>194.15</v>
      </c>
      <c r="M66" s="90">
        <v>277.15</v>
      </c>
      <c r="N66" s="90">
        <v>331.2</v>
      </c>
      <c r="O66" s="90">
        <v>333.41</v>
      </c>
      <c r="P66" s="105">
        <v>353.38</v>
      </c>
      <c r="Q66" s="14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96">
        <v>29.0</v>
      </c>
      <c r="C67" s="97">
        <v>131.34</v>
      </c>
      <c r="D67" s="97">
        <v>185.16</v>
      </c>
      <c r="E67" s="97">
        <v>264.29</v>
      </c>
      <c r="F67" s="97">
        <v>315.86</v>
      </c>
      <c r="G67" s="97">
        <v>317.95</v>
      </c>
      <c r="H67" s="97">
        <v>337.03</v>
      </c>
      <c r="I67" s="1"/>
      <c r="J67" s="96">
        <v>29.0</v>
      </c>
      <c r="K67" s="97">
        <v>139.74</v>
      </c>
      <c r="L67" s="97">
        <v>197.0</v>
      </c>
      <c r="M67" s="97">
        <v>281.14</v>
      </c>
      <c r="N67" s="97">
        <v>336.02</v>
      </c>
      <c r="O67" s="97">
        <v>338.23</v>
      </c>
      <c r="P67" s="98">
        <v>358.57</v>
      </c>
      <c r="Q67" s="14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153">
        <v>29.5</v>
      </c>
      <c r="C68" s="90">
        <v>133.46</v>
      </c>
      <c r="D68" s="90">
        <v>188.16</v>
      </c>
      <c r="E68" s="90">
        <v>268.06</v>
      </c>
      <c r="F68" s="90">
        <v>320.42</v>
      </c>
      <c r="G68" s="90">
        <v>322.47</v>
      </c>
      <c r="H68" s="90">
        <v>341.54</v>
      </c>
      <c r="I68" s="1"/>
      <c r="J68" s="153">
        <v>29.5</v>
      </c>
      <c r="K68" s="90">
        <v>141.96</v>
      </c>
      <c r="L68" s="90">
        <v>200.21</v>
      </c>
      <c r="M68" s="90">
        <v>285.16</v>
      </c>
      <c r="N68" s="90">
        <v>340.85</v>
      </c>
      <c r="O68" s="90">
        <v>343.06</v>
      </c>
      <c r="P68" s="105">
        <v>363.31</v>
      </c>
      <c r="Q68" s="14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96">
        <v>30.0</v>
      </c>
      <c r="C69" s="97">
        <v>135.66</v>
      </c>
      <c r="D69" s="97">
        <v>191.01</v>
      </c>
      <c r="E69" s="97">
        <v>271.81</v>
      </c>
      <c r="F69" s="97">
        <v>324.9</v>
      </c>
      <c r="G69" s="97">
        <v>327.08</v>
      </c>
      <c r="H69" s="97">
        <v>345.96</v>
      </c>
      <c r="I69" s="1"/>
      <c r="J69" s="96">
        <v>30.0</v>
      </c>
      <c r="K69" s="97">
        <v>144.34</v>
      </c>
      <c r="L69" s="97">
        <v>203.22</v>
      </c>
      <c r="M69" s="97">
        <v>289.16</v>
      </c>
      <c r="N69" s="97">
        <v>345.64</v>
      </c>
      <c r="O69" s="97">
        <v>348.0</v>
      </c>
      <c r="P69" s="98">
        <v>368.03</v>
      </c>
      <c r="Q69" s="14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72">
        <v>30.5</v>
      </c>
      <c r="C70" s="90">
        <v>137.83</v>
      </c>
      <c r="D70" s="90">
        <v>193.62</v>
      </c>
      <c r="E70" s="90">
        <v>275.65</v>
      </c>
      <c r="F70" s="90">
        <v>329.41</v>
      </c>
      <c r="G70" s="90">
        <v>332.11</v>
      </c>
      <c r="H70" s="90">
        <v>350.52</v>
      </c>
      <c r="I70" s="1"/>
      <c r="J70" s="72">
        <v>30.5</v>
      </c>
      <c r="K70" s="90">
        <v>146.63</v>
      </c>
      <c r="L70" s="90">
        <v>205.97</v>
      </c>
      <c r="M70" s="90">
        <v>293.26</v>
      </c>
      <c r="N70" s="90">
        <v>350.44</v>
      </c>
      <c r="O70" s="90">
        <v>353.3</v>
      </c>
      <c r="P70" s="105">
        <v>372.88</v>
      </c>
      <c r="Q70" s="14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96">
        <v>31.0</v>
      </c>
      <c r="C71" s="97">
        <v>139.87</v>
      </c>
      <c r="D71" s="97">
        <v>196.32</v>
      </c>
      <c r="E71" s="97">
        <v>277.56</v>
      </c>
      <c r="F71" s="97">
        <v>333.1</v>
      </c>
      <c r="G71" s="97">
        <v>335.7</v>
      </c>
      <c r="H71" s="97">
        <v>355.64</v>
      </c>
      <c r="I71" s="1"/>
      <c r="J71" s="96">
        <v>31.0</v>
      </c>
      <c r="K71" s="97">
        <v>148.81</v>
      </c>
      <c r="L71" s="97">
        <v>208.86</v>
      </c>
      <c r="M71" s="97">
        <v>295.28</v>
      </c>
      <c r="N71" s="97">
        <v>354.34</v>
      </c>
      <c r="O71" s="97">
        <v>357.11</v>
      </c>
      <c r="P71" s="98">
        <v>378.33</v>
      </c>
      <c r="Q71" s="14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72">
        <v>31.5</v>
      </c>
      <c r="C72" s="90">
        <v>142.0</v>
      </c>
      <c r="D72" s="90">
        <v>198.87</v>
      </c>
      <c r="E72" s="90">
        <v>278.23</v>
      </c>
      <c r="F72" s="90">
        <v>333.8</v>
      </c>
      <c r="G72" s="90">
        <v>337.27</v>
      </c>
      <c r="H72" s="90">
        <v>361.13</v>
      </c>
      <c r="I72" s="1"/>
      <c r="J72" s="72">
        <v>31.5</v>
      </c>
      <c r="K72" s="90">
        <v>151.09</v>
      </c>
      <c r="L72" s="90">
        <v>211.53</v>
      </c>
      <c r="M72" s="90">
        <v>295.99</v>
      </c>
      <c r="N72" s="90">
        <v>355.11</v>
      </c>
      <c r="O72" s="90">
        <v>358.81</v>
      </c>
      <c r="P72" s="105">
        <v>384.18</v>
      </c>
      <c r="Q72" s="14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63" t="s">
        <v>28</v>
      </c>
      <c r="C73" s="97">
        <v>4.52</v>
      </c>
      <c r="D73" s="97">
        <v>6.34</v>
      </c>
      <c r="E73" s="97">
        <v>8.85</v>
      </c>
      <c r="F73" s="97">
        <v>10.61</v>
      </c>
      <c r="G73" s="97">
        <v>10.73</v>
      </c>
      <c r="H73" s="97">
        <v>11.49</v>
      </c>
      <c r="I73" s="1"/>
      <c r="J73" s="163" t="s">
        <v>28</v>
      </c>
      <c r="K73" s="97">
        <v>4.81</v>
      </c>
      <c r="L73" s="97">
        <v>6.73</v>
      </c>
      <c r="M73" s="97">
        <v>9.41</v>
      </c>
      <c r="N73" s="97">
        <v>11.28</v>
      </c>
      <c r="O73" s="97">
        <v>11.41</v>
      </c>
      <c r="P73" s="98">
        <v>12.21</v>
      </c>
      <c r="Q73" s="14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63" t="s">
        <v>29</v>
      </c>
      <c r="C74" s="97">
        <v>4.52</v>
      </c>
      <c r="D74" s="97">
        <v>6.34</v>
      </c>
      <c r="E74" s="97">
        <v>8.85</v>
      </c>
      <c r="F74" s="97">
        <v>10.61</v>
      </c>
      <c r="G74" s="97">
        <v>10.73</v>
      </c>
      <c r="H74" s="97">
        <v>11.49</v>
      </c>
      <c r="I74" s="1"/>
      <c r="J74" s="163" t="s">
        <v>29</v>
      </c>
      <c r="K74" s="97">
        <v>4.81</v>
      </c>
      <c r="L74" s="97">
        <v>6.73</v>
      </c>
      <c r="M74" s="97">
        <v>9.41</v>
      </c>
      <c r="N74" s="97">
        <v>11.28</v>
      </c>
      <c r="O74" s="97">
        <v>11.41</v>
      </c>
      <c r="P74" s="98">
        <v>12.21</v>
      </c>
      <c r="Q74" s="14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63" t="s">
        <v>30</v>
      </c>
      <c r="C75" s="97">
        <v>4.52</v>
      </c>
      <c r="D75" s="97">
        <v>6.34</v>
      </c>
      <c r="E75" s="97">
        <v>8.85</v>
      </c>
      <c r="F75" s="97">
        <v>10.61</v>
      </c>
      <c r="G75" s="97">
        <v>10.73</v>
      </c>
      <c r="H75" s="97">
        <v>11.49</v>
      </c>
      <c r="I75" s="1"/>
      <c r="J75" s="163" t="s">
        <v>30</v>
      </c>
      <c r="K75" s="97">
        <v>4.81</v>
      </c>
      <c r="L75" s="97">
        <v>6.73</v>
      </c>
      <c r="M75" s="97">
        <v>9.41</v>
      </c>
      <c r="N75" s="97">
        <v>11.28</v>
      </c>
      <c r="O75" s="97">
        <v>11.41</v>
      </c>
      <c r="P75" s="98">
        <v>12.21</v>
      </c>
      <c r="Q75" s="14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63" t="s">
        <v>31</v>
      </c>
      <c r="C76" s="97">
        <v>4.52</v>
      </c>
      <c r="D76" s="97">
        <v>6.34</v>
      </c>
      <c r="E76" s="97">
        <v>8.85</v>
      </c>
      <c r="F76" s="97">
        <v>10.61</v>
      </c>
      <c r="G76" s="97">
        <v>10.73</v>
      </c>
      <c r="H76" s="97">
        <v>11.49</v>
      </c>
      <c r="I76" s="1"/>
      <c r="J76" s="163" t="s">
        <v>31</v>
      </c>
      <c r="K76" s="97">
        <v>4.81</v>
      </c>
      <c r="L76" s="97">
        <v>6.73</v>
      </c>
      <c r="M76" s="97">
        <v>9.41</v>
      </c>
      <c r="N76" s="97">
        <v>11.28</v>
      </c>
      <c r="O76" s="97">
        <v>11.41</v>
      </c>
      <c r="P76" s="98">
        <v>12.21</v>
      </c>
      <c r="Q76" s="14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63" t="s">
        <v>32</v>
      </c>
      <c r="C77" s="97">
        <v>4.52</v>
      </c>
      <c r="D77" s="97">
        <v>6.34</v>
      </c>
      <c r="E77" s="97">
        <v>8.85</v>
      </c>
      <c r="F77" s="97">
        <v>10.61</v>
      </c>
      <c r="G77" s="97">
        <v>10.73</v>
      </c>
      <c r="H77" s="97">
        <v>11.49</v>
      </c>
      <c r="I77" s="1"/>
      <c r="J77" s="163" t="s">
        <v>32</v>
      </c>
      <c r="K77" s="97">
        <v>4.81</v>
      </c>
      <c r="L77" s="97">
        <v>6.73</v>
      </c>
      <c r="M77" s="97">
        <v>9.41</v>
      </c>
      <c r="N77" s="97">
        <v>11.28</v>
      </c>
      <c r="O77" s="97">
        <v>11.41</v>
      </c>
      <c r="P77" s="98">
        <v>12.21</v>
      </c>
      <c r="Q77" s="14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63" t="s">
        <v>33</v>
      </c>
      <c r="C78" s="97">
        <v>4.52</v>
      </c>
      <c r="D78" s="97">
        <v>6.34</v>
      </c>
      <c r="E78" s="97">
        <v>8.85</v>
      </c>
      <c r="F78" s="97">
        <v>10.61</v>
      </c>
      <c r="G78" s="97">
        <v>10.73</v>
      </c>
      <c r="H78" s="97">
        <v>11.49</v>
      </c>
      <c r="I78" s="1"/>
      <c r="J78" s="163" t="s">
        <v>33</v>
      </c>
      <c r="K78" s="97">
        <v>4.81</v>
      </c>
      <c r="L78" s="97">
        <v>6.73</v>
      </c>
      <c r="M78" s="97">
        <v>9.41</v>
      </c>
      <c r="N78" s="97">
        <v>11.28</v>
      </c>
      <c r="O78" s="97">
        <v>11.41</v>
      </c>
      <c r="P78" s="98">
        <v>12.21</v>
      </c>
      <c r="Q78" s="14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63" t="s">
        <v>34</v>
      </c>
      <c r="C79" s="97">
        <v>4.52</v>
      </c>
      <c r="D79" s="97">
        <v>6.34</v>
      </c>
      <c r="E79" s="97">
        <v>8.85</v>
      </c>
      <c r="F79" s="97">
        <v>10.61</v>
      </c>
      <c r="G79" s="97">
        <v>10.73</v>
      </c>
      <c r="H79" s="97">
        <v>11.49</v>
      </c>
      <c r="I79" s="1"/>
      <c r="J79" s="163" t="s">
        <v>34</v>
      </c>
      <c r="K79" s="97">
        <v>4.81</v>
      </c>
      <c r="L79" s="97">
        <v>6.73</v>
      </c>
      <c r="M79" s="97">
        <v>9.41</v>
      </c>
      <c r="N79" s="97">
        <v>11.28</v>
      </c>
      <c r="O79" s="97">
        <v>11.41</v>
      </c>
      <c r="P79" s="98">
        <v>12.21</v>
      </c>
      <c r="Q79" s="14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68" t="s">
        <v>35</v>
      </c>
      <c r="C80" s="97">
        <v>4.52</v>
      </c>
      <c r="D80" s="97">
        <v>6.34</v>
      </c>
      <c r="E80" s="97">
        <v>8.85</v>
      </c>
      <c r="F80" s="97">
        <v>10.61</v>
      </c>
      <c r="G80" s="97">
        <v>10.73</v>
      </c>
      <c r="H80" s="97">
        <v>11.49</v>
      </c>
      <c r="I80" s="1"/>
      <c r="J80" s="168" t="s">
        <v>35</v>
      </c>
      <c r="K80" s="97">
        <v>4.81</v>
      </c>
      <c r="L80" s="97">
        <v>6.73</v>
      </c>
      <c r="M80" s="97">
        <v>9.41</v>
      </c>
      <c r="N80" s="97">
        <v>11.28</v>
      </c>
      <c r="O80" s="97">
        <v>11.41</v>
      </c>
      <c r="P80" s="98">
        <v>12.21</v>
      </c>
      <c r="Q80" s="14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2:H2"/>
    <mergeCell ref="K2:P2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6.43"/>
    <col customWidth="1" min="3" max="5" width="12.14"/>
    <col customWidth="1" min="6" max="21" width="9.14"/>
  </cols>
  <sheetData>
    <row r="1" ht="14.2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ht="14.25" customHeight="1">
      <c r="A2" s="5"/>
      <c r="B2" s="5"/>
      <c r="C2" s="39"/>
      <c r="D2" s="39"/>
      <c r="E2" s="39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ht="36.0" customHeight="1">
      <c r="A3" s="5"/>
      <c r="B3" s="78"/>
      <c r="C3" s="196" t="s">
        <v>37</v>
      </c>
      <c r="D3" s="197" t="s">
        <v>38</v>
      </c>
      <c r="E3" s="198" t="s">
        <v>39</v>
      </c>
      <c r="F3" s="28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ht="14.25" customHeight="1">
      <c r="A4" s="44"/>
      <c r="B4" s="199" t="s">
        <v>40</v>
      </c>
      <c r="C4" s="200">
        <v>6.0</v>
      </c>
      <c r="D4" s="200">
        <v>6.0</v>
      </c>
      <c r="E4" s="201">
        <v>4.0</v>
      </c>
      <c r="F4" s="28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14.25" customHeight="1">
      <c r="A5" s="44"/>
      <c r="B5" s="202" t="s">
        <v>41</v>
      </c>
      <c r="C5" s="203">
        <v>6.0</v>
      </c>
      <c r="D5" s="203">
        <v>5.0</v>
      </c>
      <c r="E5" s="204">
        <v>4.0</v>
      </c>
      <c r="F5" s="28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ht="14.25" customHeight="1">
      <c r="A6" s="44"/>
      <c r="B6" s="205" t="s">
        <v>42</v>
      </c>
      <c r="C6" s="206">
        <v>5.0</v>
      </c>
      <c r="D6" s="206">
        <v>4.0</v>
      </c>
      <c r="E6" s="207">
        <v>2.0</v>
      </c>
      <c r="F6" s="28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4.25" customHeight="1">
      <c r="A7" s="44"/>
      <c r="B7" s="202" t="s">
        <v>43</v>
      </c>
      <c r="C7" s="203">
        <v>6.0</v>
      </c>
      <c r="D7" s="203">
        <v>6.0</v>
      </c>
      <c r="E7" s="204">
        <v>4.0</v>
      </c>
      <c r="F7" s="28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ht="14.25" customHeight="1">
      <c r="A8" s="44"/>
      <c r="B8" s="205" t="s">
        <v>44</v>
      </c>
      <c r="C8" s="206">
        <v>2.0</v>
      </c>
      <c r="D8" s="206">
        <v>3.0</v>
      </c>
      <c r="E8" s="207">
        <v>1.0</v>
      </c>
      <c r="F8" s="28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ht="14.25" customHeight="1">
      <c r="A9" s="44"/>
      <c r="B9" s="202" t="s">
        <v>45</v>
      </c>
      <c r="C9" s="203">
        <v>2.0</v>
      </c>
      <c r="D9" s="203">
        <v>3.0</v>
      </c>
      <c r="E9" s="204">
        <v>1.0</v>
      </c>
      <c r="F9" s="28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ht="14.25" customHeight="1">
      <c r="A10" s="44"/>
      <c r="B10" s="205" t="s">
        <v>46</v>
      </c>
      <c r="C10" s="206">
        <v>6.0</v>
      </c>
      <c r="D10" s="206">
        <v>6.0</v>
      </c>
      <c r="E10" s="207">
        <v>4.0</v>
      </c>
      <c r="F10" s="28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ht="14.25" customHeight="1">
      <c r="A11" s="44"/>
      <c r="B11" s="202" t="s">
        <v>47</v>
      </c>
      <c r="C11" s="203">
        <v>6.0</v>
      </c>
      <c r="D11" s="203">
        <v>6.0</v>
      </c>
      <c r="E11" s="204">
        <v>4.0</v>
      </c>
      <c r="F11" s="28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ht="14.25" customHeight="1">
      <c r="A12" s="44"/>
      <c r="B12" s="205" t="s">
        <v>48</v>
      </c>
      <c r="C12" s="206">
        <v>6.0</v>
      </c>
      <c r="D12" s="206">
        <v>5.0</v>
      </c>
      <c r="E12" s="207">
        <v>4.0</v>
      </c>
      <c r="F12" s="28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ht="14.25" customHeight="1">
      <c r="A13" s="44"/>
      <c r="B13" s="202" t="s">
        <v>49</v>
      </c>
      <c r="C13" s="203">
        <v>2.0</v>
      </c>
      <c r="D13" s="203">
        <v>3.0</v>
      </c>
      <c r="E13" s="204">
        <v>1.0</v>
      </c>
      <c r="F13" s="28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ht="14.25" customHeight="1">
      <c r="A14" s="44"/>
      <c r="B14" s="205" t="s">
        <v>50</v>
      </c>
      <c r="C14" s="206">
        <v>3.0</v>
      </c>
      <c r="D14" s="206">
        <v>5.0</v>
      </c>
      <c r="E14" s="207">
        <v>3.0</v>
      </c>
      <c r="F14" s="28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ht="14.25" customHeight="1">
      <c r="A15" s="44"/>
      <c r="B15" s="202" t="s">
        <v>51</v>
      </c>
      <c r="C15" s="203">
        <v>4.0</v>
      </c>
      <c r="D15" s="203">
        <v>4.0</v>
      </c>
      <c r="E15" s="204">
        <v>2.0</v>
      </c>
      <c r="F15" s="28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ht="14.25" customHeight="1">
      <c r="A16" s="44"/>
      <c r="B16" s="205" t="s">
        <v>52</v>
      </c>
      <c r="C16" s="206">
        <v>6.0</v>
      </c>
      <c r="D16" s="206">
        <v>5.0</v>
      </c>
      <c r="E16" s="207">
        <v>4.0</v>
      </c>
      <c r="F16" s="28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ht="14.25" customHeight="1">
      <c r="A17" s="44"/>
      <c r="B17" s="202" t="s">
        <v>53</v>
      </c>
      <c r="C17" s="203">
        <v>2.0</v>
      </c>
      <c r="D17" s="203">
        <v>3.0</v>
      </c>
      <c r="E17" s="204">
        <v>1.0</v>
      </c>
      <c r="F17" s="28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ht="14.25" customHeight="1">
      <c r="A18" s="44"/>
      <c r="B18" s="205" t="s">
        <v>54</v>
      </c>
      <c r="C18" s="206">
        <v>6.0</v>
      </c>
      <c r="D18" s="206">
        <v>6.0</v>
      </c>
      <c r="E18" s="207">
        <v>4.0</v>
      </c>
      <c r="F18" s="28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ht="14.25" customHeight="1">
      <c r="A19" s="44"/>
      <c r="B19" s="202" t="s">
        <v>55</v>
      </c>
      <c r="C19" s="203">
        <v>6.0</v>
      </c>
      <c r="D19" s="203">
        <v>6.0</v>
      </c>
      <c r="E19" s="204">
        <v>4.0</v>
      </c>
      <c r="F19" s="28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ht="14.25" customHeight="1">
      <c r="A20" s="44"/>
      <c r="B20" s="205" t="s">
        <v>56</v>
      </c>
      <c r="C20" s="206">
        <v>2.0</v>
      </c>
      <c r="D20" s="206">
        <v>3.0</v>
      </c>
      <c r="E20" s="207">
        <v>1.0</v>
      </c>
      <c r="F20" s="28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ht="14.25" customHeight="1">
      <c r="A21" s="44"/>
      <c r="B21" s="202" t="s">
        <v>57</v>
      </c>
      <c r="C21" s="203">
        <v>5.0</v>
      </c>
      <c r="D21" s="203">
        <v>4.0</v>
      </c>
      <c r="E21" s="204">
        <v>2.0</v>
      </c>
      <c r="F21" s="28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ht="14.25" customHeight="1">
      <c r="A22" s="44"/>
      <c r="B22" s="205" t="s">
        <v>58</v>
      </c>
      <c r="C22" s="206">
        <v>6.0</v>
      </c>
      <c r="D22" s="206">
        <v>6.0</v>
      </c>
      <c r="E22" s="207">
        <v>4.0</v>
      </c>
      <c r="F22" s="28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ht="14.25" customHeight="1">
      <c r="A23" s="44"/>
      <c r="B23" s="202" t="s">
        <v>59</v>
      </c>
      <c r="C23" s="203">
        <v>2.0</v>
      </c>
      <c r="D23" s="203">
        <v>3.0</v>
      </c>
      <c r="E23" s="204">
        <v>1.0</v>
      </c>
      <c r="F23" s="28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ht="14.25" customHeight="1">
      <c r="A24" s="44"/>
      <c r="B24" s="205" t="s">
        <v>60</v>
      </c>
      <c r="C24" s="206">
        <v>6.0</v>
      </c>
      <c r="D24" s="206">
        <v>5.0</v>
      </c>
      <c r="E24" s="207">
        <v>4.0</v>
      </c>
      <c r="F24" s="28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ht="14.25" customHeight="1">
      <c r="A25" s="44"/>
      <c r="B25" s="202" t="s">
        <v>61</v>
      </c>
      <c r="C25" s="203">
        <v>2.0</v>
      </c>
      <c r="D25" s="203">
        <v>2.0</v>
      </c>
      <c r="E25" s="204">
        <v>1.0</v>
      </c>
      <c r="F25" s="28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ht="14.25" customHeight="1">
      <c r="A26" s="44"/>
      <c r="B26" s="205" t="s">
        <v>62</v>
      </c>
      <c r="C26" s="206">
        <v>2.0</v>
      </c>
      <c r="D26" s="206">
        <v>3.0</v>
      </c>
      <c r="E26" s="207">
        <v>1.0</v>
      </c>
      <c r="F26" s="28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ht="14.25" customHeight="1">
      <c r="A27" s="44"/>
      <c r="B27" s="202" t="s">
        <v>63</v>
      </c>
      <c r="C27" s="203">
        <v>6.0</v>
      </c>
      <c r="D27" s="203">
        <v>5.0</v>
      </c>
      <c r="E27" s="204">
        <v>4.0</v>
      </c>
      <c r="F27" s="28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ht="14.25" customHeight="1">
      <c r="A28" s="44"/>
      <c r="B28" s="205" t="s">
        <v>64</v>
      </c>
      <c r="C28" s="206">
        <v>6.0</v>
      </c>
      <c r="D28" s="206">
        <v>6.0</v>
      </c>
      <c r="E28" s="207">
        <v>4.0</v>
      </c>
      <c r="F28" s="28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ht="14.25" customHeight="1">
      <c r="A29" s="44"/>
      <c r="B29" s="202" t="s">
        <v>65</v>
      </c>
      <c r="C29" s="203">
        <v>1.0</v>
      </c>
      <c r="D29" s="203">
        <v>1.0</v>
      </c>
      <c r="E29" s="204">
        <v>1.0</v>
      </c>
      <c r="F29" s="28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ht="14.25" customHeight="1">
      <c r="A30" s="44"/>
      <c r="B30" s="205" t="s">
        <v>66</v>
      </c>
      <c r="C30" s="206">
        <v>6.0</v>
      </c>
      <c r="D30" s="206">
        <v>7.0</v>
      </c>
      <c r="E30" s="207">
        <v>4.0</v>
      </c>
      <c r="F30" s="28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ht="14.25" customHeight="1">
      <c r="A31" s="44"/>
      <c r="B31" s="202" t="s">
        <v>67</v>
      </c>
      <c r="C31" s="203">
        <v>6.0</v>
      </c>
      <c r="D31" s="203">
        <v>4.0</v>
      </c>
      <c r="E31" s="204">
        <v>2.0</v>
      </c>
      <c r="F31" s="28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ht="14.25" customHeight="1">
      <c r="A32" s="44"/>
      <c r="B32" s="205" t="s">
        <v>68</v>
      </c>
      <c r="C32" s="206">
        <v>6.0</v>
      </c>
      <c r="D32" s="206">
        <v>6.0</v>
      </c>
      <c r="E32" s="207">
        <v>4.0</v>
      </c>
      <c r="F32" s="28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ht="14.25" customHeight="1">
      <c r="A33" s="44"/>
      <c r="B33" s="202" t="s">
        <v>69</v>
      </c>
      <c r="C33" s="203">
        <v>6.0</v>
      </c>
      <c r="D33" s="203">
        <v>6.0</v>
      </c>
      <c r="E33" s="204">
        <v>4.0</v>
      </c>
      <c r="F33" s="28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ht="14.25" customHeight="1">
      <c r="A34" s="44"/>
      <c r="B34" s="205" t="s">
        <v>70</v>
      </c>
      <c r="C34" s="206">
        <v>6.0</v>
      </c>
      <c r="D34" s="206">
        <v>6.0</v>
      </c>
      <c r="E34" s="207">
        <v>4.0</v>
      </c>
      <c r="F34" s="28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ht="14.25" customHeight="1">
      <c r="A35" s="44"/>
      <c r="B35" s="202" t="s">
        <v>71</v>
      </c>
      <c r="C35" s="203">
        <v>6.0</v>
      </c>
      <c r="D35" s="203">
        <v>7.0</v>
      </c>
      <c r="E35" s="204">
        <v>4.0</v>
      </c>
      <c r="F35" s="28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ht="14.25" customHeight="1">
      <c r="A36" s="44"/>
      <c r="B36" s="205" t="s">
        <v>72</v>
      </c>
      <c r="C36" s="206">
        <v>6.0</v>
      </c>
      <c r="D36" s="206">
        <v>6.0</v>
      </c>
      <c r="E36" s="207">
        <v>4.0</v>
      </c>
      <c r="F36" s="28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ht="14.25" customHeight="1">
      <c r="A37" s="44"/>
      <c r="B37" s="202" t="s">
        <v>73</v>
      </c>
      <c r="C37" s="203">
        <v>1.0</v>
      </c>
      <c r="D37" s="203">
        <v>3.0</v>
      </c>
      <c r="E37" s="204">
        <v>1.0</v>
      </c>
      <c r="F37" s="28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ht="14.25" customHeight="1">
      <c r="A38" s="44"/>
      <c r="B38" s="205" t="s">
        <v>74</v>
      </c>
      <c r="C38" s="206">
        <v>6.0</v>
      </c>
      <c r="D38" s="206">
        <v>6.0</v>
      </c>
      <c r="E38" s="207">
        <v>4.0</v>
      </c>
      <c r="F38" s="28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ht="14.25" customHeight="1">
      <c r="A39" s="44"/>
      <c r="B39" s="202" t="s">
        <v>75</v>
      </c>
      <c r="C39" s="203">
        <v>1.0</v>
      </c>
      <c r="D39" s="203">
        <v>1.0</v>
      </c>
      <c r="E39" s="204">
        <v>1.0</v>
      </c>
      <c r="F39" s="28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ht="14.25" customHeight="1">
      <c r="A40" s="44"/>
      <c r="B40" s="205" t="s">
        <v>76</v>
      </c>
      <c r="C40" s="206">
        <v>3.0</v>
      </c>
      <c r="D40" s="206">
        <v>7.0</v>
      </c>
      <c r="E40" s="207">
        <v>3.0</v>
      </c>
      <c r="F40" s="28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ht="14.25" customHeight="1">
      <c r="A41" s="44"/>
      <c r="B41" s="202" t="s">
        <v>77</v>
      </c>
      <c r="C41" s="203">
        <v>6.0</v>
      </c>
      <c r="D41" s="203">
        <v>6.0</v>
      </c>
      <c r="E41" s="204">
        <v>4.0</v>
      </c>
      <c r="F41" s="28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ht="14.25" customHeight="1">
      <c r="A42" s="44"/>
      <c r="B42" s="205" t="s">
        <v>78</v>
      </c>
      <c r="C42" s="206">
        <v>4.0</v>
      </c>
      <c r="D42" s="206">
        <v>4.0</v>
      </c>
      <c r="E42" s="207">
        <v>2.0</v>
      </c>
      <c r="F42" s="28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ht="14.25" customHeight="1">
      <c r="A43" s="44"/>
      <c r="B43" s="202" t="s">
        <v>10</v>
      </c>
      <c r="C43" s="203">
        <v>1.0</v>
      </c>
      <c r="D43" s="203">
        <v>2.0</v>
      </c>
      <c r="E43" s="204">
        <v>1.0</v>
      </c>
      <c r="F43" s="28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ht="14.25" customHeight="1">
      <c r="A44" s="44"/>
      <c r="B44" s="205" t="s">
        <v>79</v>
      </c>
      <c r="C44" s="206">
        <v>6.0</v>
      </c>
      <c r="D44" s="206">
        <v>6.0</v>
      </c>
      <c r="E44" s="207"/>
      <c r="F44" s="28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ht="14.25" customHeight="1">
      <c r="A45" s="44"/>
      <c r="B45" s="202" t="s">
        <v>80</v>
      </c>
      <c r="C45" s="203">
        <v>3.0</v>
      </c>
      <c r="D45" s="203">
        <v>7.0</v>
      </c>
      <c r="E45" s="204">
        <v>3.0</v>
      </c>
      <c r="F45" s="28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ht="14.25" customHeight="1">
      <c r="A46" s="44"/>
      <c r="B46" s="205" t="s">
        <v>81</v>
      </c>
      <c r="C46" s="206">
        <v>6.0</v>
      </c>
      <c r="D46" s="206">
        <v>6.0</v>
      </c>
      <c r="E46" s="207">
        <v>4.0</v>
      </c>
      <c r="F46" s="28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ht="14.25" customHeight="1">
      <c r="A47" s="44"/>
      <c r="B47" s="202" t="s">
        <v>82</v>
      </c>
      <c r="C47" s="203">
        <v>2.0</v>
      </c>
      <c r="D47" s="203">
        <v>3.0</v>
      </c>
      <c r="E47" s="204">
        <v>1.0</v>
      </c>
      <c r="F47" s="28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ht="14.25" customHeight="1">
      <c r="A48" s="44"/>
      <c r="B48" s="205" t="s">
        <v>83</v>
      </c>
      <c r="C48" s="206">
        <v>6.0</v>
      </c>
      <c r="D48" s="206">
        <v>5.0</v>
      </c>
      <c r="E48" s="207">
        <v>4.0</v>
      </c>
      <c r="F48" s="28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ht="14.25" customHeight="1">
      <c r="A49" s="44"/>
      <c r="B49" s="202" t="s">
        <v>84</v>
      </c>
      <c r="C49" s="203">
        <v>2.0</v>
      </c>
      <c r="D49" s="203">
        <v>3.0</v>
      </c>
      <c r="E49" s="204">
        <v>1.0</v>
      </c>
      <c r="F49" s="28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ht="14.25" customHeight="1">
      <c r="A50" s="44"/>
      <c r="B50" s="205" t="s">
        <v>85</v>
      </c>
      <c r="C50" s="206">
        <v>5.0</v>
      </c>
      <c r="D50" s="206">
        <v>4.0</v>
      </c>
      <c r="E50" s="207">
        <v>2.0</v>
      </c>
      <c r="F50" s="28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ht="14.25" customHeight="1">
      <c r="A51" s="44"/>
      <c r="B51" s="202" t="s">
        <v>86</v>
      </c>
      <c r="C51" s="203">
        <v>6.0</v>
      </c>
      <c r="D51" s="203">
        <v>6.0</v>
      </c>
      <c r="E51" s="204">
        <v>4.0</v>
      </c>
      <c r="F51" s="28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ht="14.25" customHeight="1">
      <c r="A52" s="44"/>
      <c r="B52" s="205" t="s">
        <v>87</v>
      </c>
      <c r="C52" s="206">
        <v>2.0</v>
      </c>
      <c r="D52" s="206">
        <v>3.0</v>
      </c>
      <c r="E52" s="207">
        <v>1.0</v>
      </c>
      <c r="F52" s="28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ht="14.25" customHeight="1">
      <c r="A53" s="44"/>
      <c r="B53" s="202" t="s">
        <v>88</v>
      </c>
      <c r="C53" s="203">
        <v>1.0</v>
      </c>
      <c r="D53" s="203">
        <v>2.0</v>
      </c>
      <c r="E53" s="204">
        <v>1.0</v>
      </c>
      <c r="F53" s="28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ht="14.25" customHeight="1">
      <c r="A54" s="44"/>
      <c r="B54" s="205" t="s">
        <v>89</v>
      </c>
      <c r="C54" s="206">
        <v>6.0</v>
      </c>
      <c r="D54" s="206">
        <v>6.0</v>
      </c>
      <c r="E54" s="207">
        <v>4.0</v>
      </c>
      <c r="F54" s="28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ht="14.25" customHeight="1">
      <c r="A55" s="44"/>
      <c r="B55" s="202" t="s">
        <v>90</v>
      </c>
      <c r="C55" s="203">
        <v>2.0</v>
      </c>
      <c r="D55" s="203">
        <v>3.0</v>
      </c>
      <c r="E55" s="204">
        <v>1.0</v>
      </c>
      <c r="F55" s="28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ht="14.25" customHeight="1">
      <c r="A56" s="44"/>
      <c r="B56" s="205" t="s">
        <v>91</v>
      </c>
      <c r="C56" s="206">
        <v>6.0</v>
      </c>
      <c r="D56" s="206">
        <v>6.0</v>
      </c>
      <c r="E56" s="207">
        <v>4.0</v>
      </c>
      <c r="F56" s="28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ht="14.25" customHeight="1">
      <c r="A57" s="44"/>
      <c r="B57" s="202" t="s">
        <v>92</v>
      </c>
      <c r="C57" s="203">
        <v>6.0</v>
      </c>
      <c r="D57" s="203">
        <v>6.0</v>
      </c>
      <c r="E57" s="204">
        <v>4.0</v>
      </c>
      <c r="F57" s="28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ht="14.25" customHeight="1">
      <c r="A58" s="44"/>
      <c r="B58" s="205" t="s">
        <v>93</v>
      </c>
      <c r="C58" s="206">
        <v>6.0</v>
      </c>
      <c r="D58" s="206">
        <v>5.0</v>
      </c>
      <c r="E58" s="207">
        <v>2.0</v>
      </c>
      <c r="F58" s="28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ht="14.25" customHeight="1">
      <c r="A59" s="44"/>
      <c r="B59" s="202" t="s">
        <v>94</v>
      </c>
      <c r="C59" s="203">
        <v>6.0</v>
      </c>
      <c r="D59" s="203">
        <v>4.0</v>
      </c>
      <c r="E59" s="204">
        <v>2.0</v>
      </c>
      <c r="F59" s="28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ht="14.25" customHeight="1">
      <c r="A60" s="44"/>
      <c r="B60" s="205" t="s">
        <v>95</v>
      </c>
      <c r="C60" s="206">
        <v>5.0</v>
      </c>
      <c r="D60" s="206">
        <v>4.0</v>
      </c>
      <c r="E60" s="207">
        <v>2.0</v>
      </c>
      <c r="F60" s="28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ht="14.25" customHeight="1">
      <c r="A61" s="44"/>
      <c r="B61" s="202" t="s">
        <v>27</v>
      </c>
      <c r="C61" s="203">
        <v>1.0</v>
      </c>
      <c r="D61" s="203">
        <v>3.0</v>
      </c>
      <c r="E61" s="204">
        <v>1.0</v>
      </c>
      <c r="F61" s="28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ht="14.25" customHeight="1">
      <c r="A62" s="44"/>
      <c r="B62" s="205" t="s">
        <v>96</v>
      </c>
      <c r="C62" s="206">
        <v>6.0</v>
      </c>
      <c r="D62" s="206">
        <v>4.0</v>
      </c>
      <c r="E62" s="207">
        <v>2.0</v>
      </c>
      <c r="F62" s="28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ht="14.25" customHeight="1">
      <c r="A63" s="44"/>
      <c r="B63" s="202" t="s">
        <v>97</v>
      </c>
      <c r="C63" s="203">
        <v>6.0</v>
      </c>
      <c r="D63" s="203">
        <v>6.0</v>
      </c>
      <c r="E63" s="204">
        <v>4.0</v>
      </c>
      <c r="F63" s="28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ht="14.25" customHeight="1">
      <c r="A64" s="44"/>
      <c r="B64" s="205" t="s">
        <v>98</v>
      </c>
      <c r="C64" s="206">
        <v>6.0</v>
      </c>
      <c r="D64" s="206">
        <v>6.0</v>
      </c>
      <c r="E64" s="207">
        <v>4.0</v>
      </c>
      <c r="F64" s="28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ht="14.25" customHeight="1">
      <c r="A65" s="44"/>
      <c r="B65" s="202" t="s">
        <v>99</v>
      </c>
      <c r="C65" s="203">
        <v>3.0</v>
      </c>
      <c r="D65" s="203">
        <v>7.0</v>
      </c>
      <c r="E65" s="204">
        <v>1.0</v>
      </c>
      <c r="F65" s="28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ht="14.25" customHeight="1">
      <c r="A66" s="44"/>
      <c r="B66" s="205" t="s">
        <v>100</v>
      </c>
      <c r="C66" s="206">
        <v>6.0</v>
      </c>
      <c r="D66" s="206">
        <v>4.0</v>
      </c>
      <c r="E66" s="207">
        <v>2.0</v>
      </c>
      <c r="F66" s="28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ht="14.25" customHeight="1">
      <c r="A67" s="44"/>
      <c r="B67" s="202" t="s">
        <v>101</v>
      </c>
      <c r="C67" s="203">
        <v>6.0</v>
      </c>
      <c r="D67" s="203">
        <v>4.0</v>
      </c>
      <c r="E67" s="204">
        <v>2.0</v>
      </c>
      <c r="F67" s="28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ht="14.25" customHeight="1">
      <c r="A68" s="44"/>
      <c r="B68" s="205" t="s">
        <v>102</v>
      </c>
      <c r="C68" s="206">
        <v>6.0</v>
      </c>
      <c r="D68" s="206">
        <v>6.0</v>
      </c>
      <c r="E68" s="207">
        <v>4.0</v>
      </c>
      <c r="F68" s="28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ht="14.25" customHeight="1">
      <c r="A69" s="44"/>
      <c r="B69" s="202" t="s">
        <v>103</v>
      </c>
      <c r="C69" s="203">
        <v>6.0</v>
      </c>
      <c r="D69" s="203">
        <v>6.0</v>
      </c>
      <c r="E69" s="204">
        <v>4.0</v>
      </c>
      <c r="F69" s="28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ht="14.25" customHeight="1">
      <c r="A70" s="44"/>
      <c r="B70" s="205" t="s">
        <v>104</v>
      </c>
      <c r="C70" s="206">
        <v>6.0</v>
      </c>
      <c r="D70" s="206">
        <v>5.0</v>
      </c>
      <c r="E70" s="207">
        <v>4.0</v>
      </c>
      <c r="F70" s="28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ht="14.25" customHeight="1">
      <c r="A71" s="44"/>
      <c r="B71" s="202" t="s">
        <v>105</v>
      </c>
      <c r="C71" s="203">
        <v>6.0</v>
      </c>
      <c r="D71" s="203">
        <v>6.0</v>
      </c>
      <c r="E71" s="204">
        <v>4.0</v>
      </c>
      <c r="F71" s="28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ht="14.25" customHeight="1">
      <c r="A72" s="44"/>
      <c r="B72" s="205" t="s">
        <v>106</v>
      </c>
      <c r="C72" s="206">
        <v>6.0</v>
      </c>
      <c r="D72" s="206">
        <v>6.0</v>
      </c>
      <c r="E72" s="207">
        <v>2.0</v>
      </c>
      <c r="F72" s="28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ht="14.25" customHeight="1">
      <c r="A73" s="44"/>
      <c r="B73" s="202" t="s">
        <v>107</v>
      </c>
      <c r="C73" s="203">
        <v>2.0</v>
      </c>
      <c r="D73" s="203">
        <v>3.0</v>
      </c>
      <c r="E73" s="204">
        <v>1.0</v>
      </c>
      <c r="F73" s="28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ht="14.25" customHeight="1">
      <c r="A74" s="44"/>
      <c r="B74" s="205" t="s">
        <v>108</v>
      </c>
      <c r="C74" s="206">
        <v>5.0</v>
      </c>
      <c r="D74" s="206">
        <v>4.0</v>
      </c>
      <c r="E74" s="207">
        <v>2.0</v>
      </c>
      <c r="F74" s="28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14.25" customHeight="1">
      <c r="A75" s="44"/>
      <c r="B75" s="202" t="s">
        <v>109</v>
      </c>
      <c r="C75" s="203">
        <v>2.0</v>
      </c>
      <c r="D75" s="203">
        <v>3.0</v>
      </c>
      <c r="E75" s="204">
        <v>1.0</v>
      </c>
      <c r="F75" s="28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4.25" customHeight="1">
      <c r="A76" s="44"/>
      <c r="B76" s="205" t="s">
        <v>110</v>
      </c>
      <c r="C76" s="206">
        <v>6.0</v>
      </c>
      <c r="D76" s="206">
        <v>6.0</v>
      </c>
      <c r="E76" s="207">
        <v>3.0</v>
      </c>
      <c r="F76" s="28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4.25" customHeight="1">
      <c r="A77" s="44"/>
      <c r="B77" s="202" t="s">
        <v>111</v>
      </c>
      <c r="C77" s="203">
        <v>2.0</v>
      </c>
      <c r="D77" s="203">
        <v>3.0</v>
      </c>
      <c r="E77" s="204">
        <v>1.0</v>
      </c>
      <c r="F77" s="28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4.25" customHeight="1">
      <c r="A78" s="44"/>
      <c r="B78" s="205" t="s">
        <v>112</v>
      </c>
      <c r="C78" s="206">
        <v>6.0</v>
      </c>
      <c r="D78" s="206">
        <v>6.0</v>
      </c>
      <c r="E78" s="207">
        <v>4.0</v>
      </c>
      <c r="F78" s="28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4.25" customHeight="1">
      <c r="A79" s="44"/>
      <c r="B79" s="202" t="s">
        <v>113</v>
      </c>
      <c r="C79" s="203">
        <v>6.0</v>
      </c>
      <c r="D79" s="203">
        <v>6.0</v>
      </c>
      <c r="E79" s="204">
        <v>4.0</v>
      </c>
      <c r="F79" s="28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4.25" customHeight="1">
      <c r="A80" s="44"/>
      <c r="B80" s="205" t="s">
        <v>114</v>
      </c>
      <c r="C80" s="206">
        <v>2.0</v>
      </c>
      <c r="D80" s="206">
        <v>2.0</v>
      </c>
      <c r="E80" s="207">
        <v>1.0</v>
      </c>
      <c r="F80" s="28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4.25" customHeight="1">
      <c r="A81" s="44"/>
      <c r="B81" s="202" t="s">
        <v>115</v>
      </c>
      <c r="C81" s="203">
        <v>2.0</v>
      </c>
      <c r="D81" s="203">
        <v>3.0</v>
      </c>
      <c r="E81" s="204">
        <v>1.0</v>
      </c>
      <c r="F81" s="28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4.25" customHeight="1">
      <c r="A82" s="44"/>
      <c r="B82" s="205" t="s">
        <v>116</v>
      </c>
      <c r="C82" s="206">
        <v>2.0</v>
      </c>
      <c r="D82" s="206">
        <v>3.0</v>
      </c>
      <c r="E82" s="207">
        <v>1.0</v>
      </c>
      <c r="F82" s="28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4.25" customHeight="1">
      <c r="A83" s="44"/>
      <c r="B83" s="202" t="s">
        <v>117</v>
      </c>
      <c r="C83" s="203">
        <v>3.0</v>
      </c>
      <c r="D83" s="203">
        <v>7.0</v>
      </c>
      <c r="E83" s="204">
        <v>3.0</v>
      </c>
      <c r="F83" s="28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4.25" customHeight="1">
      <c r="A84" s="44"/>
      <c r="B84" s="205" t="s">
        <v>118</v>
      </c>
      <c r="C84" s="206">
        <v>6.0</v>
      </c>
      <c r="D84" s="206">
        <v>4.0</v>
      </c>
      <c r="E84" s="207">
        <v>2.0</v>
      </c>
      <c r="F84" s="28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4.25" customHeight="1">
      <c r="A85" s="44"/>
      <c r="B85" s="202" t="s">
        <v>119</v>
      </c>
      <c r="C85" s="203">
        <v>6.0</v>
      </c>
      <c r="D85" s="203">
        <v>6.0</v>
      </c>
      <c r="E85" s="204">
        <v>4.0</v>
      </c>
      <c r="F85" s="28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4.25" customHeight="1">
      <c r="A86" s="44"/>
      <c r="B86" s="205" t="s">
        <v>120</v>
      </c>
      <c r="C86" s="206">
        <v>3.0</v>
      </c>
      <c r="D86" s="206">
        <v>7.0</v>
      </c>
      <c r="E86" s="207">
        <v>3.0</v>
      </c>
      <c r="F86" s="28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4.25" customHeight="1">
      <c r="A87" s="44"/>
      <c r="B87" s="202" t="s">
        <v>121</v>
      </c>
      <c r="C87" s="203">
        <v>6.0</v>
      </c>
      <c r="D87" s="203">
        <v>6.0</v>
      </c>
      <c r="E87" s="204">
        <v>4.0</v>
      </c>
      <c r="F87" s="28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4.25" customHeight="1">
      <c r="A88" s="44"/>
      <c r="B88" s="205" t="s">
        <v>122</v>
      </c>
      <c r="C88" s="206" t="s">
        <v>123</v>
      </c>
      <c r="D88" s="206" t="s">
        <v>123</v>
      </c>
      <c r="E88" s="207" t="s">
        <v>123</v>
      </c>
      <c r="F88" s="28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4.25" customHeight="1">
      <c r="A89" s="44"/>
      <c r="B89" s="202" t="s">
        <v>124</v>
      </c>
      <c r="C89" s="203">
        <v>4.0</v>
      </c>
      <c r="D89" s="203">
        <v>4.0</v>
      </c>
      <c r="E89" s="204">
        <v>2.0</v>
      </c>
      <c r="F89" s="28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4.25" customHeight="1">
      <c r="A90" s="44"/>
      <c r="B90" s="205" t="s">
        <v>125</v>
      </c>
      <c r="C90" s="206">
        <v>6.0</v>
      </c>
      <c r="D90" s="206">
        <v>6.0</v>
      </c>
      <c r="E90" s="207">
        <v>4.0</v>
      </c>
      <c r="F90" s="28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4.25" customHeight="1">
      <c r="A91" s="44"/>
      <c r="B91" s="202" t="s">
        <v>126</v>
      </c>
      <c r="C91" s="203">
        <v>6.0</v>
      </c>
      <c r="D91" s="203">
        <v>6.0</v>
      </c>
      <c r="E91" s="204">
        <v>2.0</v>
      </c>
      <c r="F91" s="28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4.25" customHeight="1">
      <c r="A92" s="44"/>
      <c r="B92" s="205" t="s">
        <v>127</v>
      </c>
      <c r="C92" s="206">
        <v>6.0</v>
      </c>
      <c r="D92" s="206">
        <v>6.0</v>
      </c>
      <c r="E92" s="207">
        <v>4.0</v>
      </c>
      <c r="F92" s="28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4.25" customHeight="1">
      <c r="A93" s="44"/>
      <c r="B93" s="202" t="s">
        <v>128</v>
      </c>
      <c r="C93" s="203">
        <v>2.0</v>
      </c>
      <c r="D93" s="203">
        <v>3.0</v>
      </c>
      <c r="E93" s="204">
        <v>1.0</v>
      </c>
      <c r="F93" s="28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4.25" customHeight="1">
      <c r="A94" s="44"/>
      <c r="B94" s="205" t="s">
        <v>129</v>
      </c>
      <c r="C94" s="206">
        <v>5.0</v>
      </c>
      <c r="D94" s="206">
        <v>6.0</v>
      </c>
      <c r="E94" s="207">
        <v>2.0</v>
      </c>
      <c r="F94" s="28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4.25" customHeight="1">
      <c r="A95" s="44"/>
      <c r="B95" s="202" t="s">
        <v>130</v>
      </c>
      <c r="C95" s="203">
        <v>5.0</v>
      </c>
      <c r="D95" s="203">
        <v>6.0</v>
      </c>
      <c r="E95" s="204">
        <v>4.0</v>
      </c>
      <c r="F95" s="28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4.25" customHeight="1">
      <c r="A96" s="44"/>
      <c r="B96" s="205" t="s">
        <v>131</v>
      </c>
      <c r="C96" s="206">
        <v>6.0</v>
      </c>
      <c r="D96" s="206">
        <v>6.0</v>
      </c>
      <c r="E96" s="207">
        <v>4.0</v>
      </c>
      <c r="F96" s="28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4.25" customHeight="1">
      <c r="A97" s="44"/>
      <c r="B97" s="202" t="s">
        <v>132</v>
      </c>
      <c r="C97" s="203">
        <v>6.0</v>
      </c>
      <c r="D97" s="203">
        <v>6.0</v>
      </c>
      <c r="E97" s="204">
        <v>4.0</v>
      </c>
      <c r="F97" s="28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4.25" customHeight="1">
      <c r="A98" s="44"/>
      <c r="B98" s="205" t="s">
        <v>133</v>
      </c>
      <c r="C98" s="206">
        <v>2.0</v>
      </c>
      <c r="D98" s="206">
        <v>3.0</v>
      </c>
      <c r="E98" s="207">
        <v>1.0</v>
      </c>
      <c r="F98" s="28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4.25" customHeight="1">
      <c r="A99" s="44"/>
      <c r="B99" s="202" t="s">
        <v>134</v>
      </c>
      <c r="C99" s="203">
        <v>2.0</v>
      </c>
      <c r="D99" s="203">
        <v>3.0</v>
      </c>
      <c r="E99" s="204">
        <v>1.0</v>
      </c>
      <c r="F99" s="28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4.25" customHeight="1">
      <c r="A100" s="44"/>
      <c r="B100" s="205" t="s">
        <v>135</v>
      </c>
      <c r="C100" s="206">
        <v>2.0</v>
      </c>
      <c r="D100" s="206">
        <v>3.0</v>
      </c>
      <c r="E100" s="207">
        <v>1.0</v>
      </c>
      <c r="F100" s="28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4.25" customHeight="1">
      <c r="A101" s="44"/>
      <c r="B101" s="202" t="s">
        <v>136</v>
      </c>
      <c r="C101" s="203">
        <v>6.0</v>
      </c>
      <c r="D101" s="203">
        <v>6.0</v>
      </c>
      <c r="E101" s="204">
        <v>4.0</v>
      </c>
      <c r="F101" s="28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4.25" customHeight="1">
      <c r="A102" s="44"/>
      <c r="B102" s="205" t="s">
        <v>137</v>
      </c>
      <c r="C102" s="206">
        <v>4.0</v>
      </c>
      <c r="D102" s="206">
        <v>4.0</v>
      </c>
      <c r="E102" s="207">
        <v>2.0</v>
      </c>
      <c r="F102" s="28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4.25" customHeight="1">
      <c r="A103" s="44"/>
      <c r="B103" s="202" t="s">
        <v>138</v>
      </c>
      <c r="C103" s="203">
        <v>2.0</v>
      </c>
      <c r="D103" s="203">
        <v>3.0</v>
      </c>
      <c r="E103" s="204">
        <v>1.0</v>
      </c>
      <c r="F103" s="28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4.25" customHeight="1">
      <c r="A104" s="44"/>
      <c r="B104" s="205" t="s">
        <v>139</v>
      </c>
      <c r="C104" s="206">
        <v>3.0</v>
      </c>
      <c r="D104" s="206">
        <v>7.0</v>
      </c>
      <c r="E104" s="207">
        <v>3.0</v>
      </c>
      <c r="F104" s="28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4.25" customHeight="1">
      <c r="A105" s="44"/>
      <c r="B105" s="202" t="s">
        <v>140</v>
      </c>
      <c r="C105" s="203">
        <v>6.0</v>
      </c>
      <c r="D105" s="203">
        <v>6.0</v>
      </c>
      <c r="E105" s="204">
        <v>4.0</v>
      </c>
      <c r="F105" s="28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4.25" customHeight="1">
      <c r="A106" s="44"/>
      <c r="B106" s="205" t="s">
        <v>141</v>
      </c>
      <c r="C106" s="206">
        <v>6.0</v>
      </c>
      <c r="D106" s="206">
        <v>5.0</v>
      </c>
      <c r="E106" s="207">
        <v>4.0</v>
      </c>
      <c r="F106" s="28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4.25" customHeight="1">
      <c r="A107" s="44"/>
      <c r="B107" s="202" t="s">
        <v>142</v>
      </c>
      <c r="C107" s="203">
        <v>6.0</v>
      </c>
      <c r="D107" s="203">
        <v>6.0</v>
      </c>
      <c r="E107" s="204">
        <v>4.0</v>
      </c>
      <c r="F107" s="28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4.25" customHeight="1">
      <c r="A108" s="44"/>
      <c r="B108" s="205" t="s">
        <v>143</v>
      </c>
      <c r="C108" s="206">
        <v>6.0</v>
      </c>
      <c r="D108" s="206">
        <v>5.0</v>
      </c>
      <c r="E108" s="207">
        <v>4.0</v>
      </c>
      <c r="F108" s="28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4.25" customHeight="1">
      <c r="A109" s="44"/>
      <c r="B109" s="202" t="s">
        <v>144</v>
      </c>
      <c r="C109" s="203">
        <v>6.0</v>
      </c>
      <c r="D109" s="203">
        <v>6.0</v>
      </c>
      <c r="E109" s="204">
        <v>4.0</v>
      </c>
      <c r="F109" s="28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4.25" customHeight="1">
      <c r="A110" s="44"/>
      <c r="B110" s="205" t="s">
        <v>145</v>
      </c>
      <c r="C110" s="206">
        <v>6.0</v>
      </c>
      <c r="D110" s="206">
        <v>7.0</v>
      </c>
      <c r="E110" s="207">
        <v>4.0</v>
      </c>
      <c r="F110" s="28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4.25" customHeight="1">
      <c r="A111" s="44"/>
      <c r="B111" s="202" t="s">
        <v>146</v>
      </c>
      <c r="C111" s="203">
        <v>6.0</v>
      </c>
      <c r="D111" s="203">
        <v>6.0</v>
      </c>
      <c r="E111" s="204">
        <v>4.0</v>
      </c>
      <c r="F111" s="28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4.25" customHeight="1">
      <c r="A112" s="44"/>
      <c r="B112" s="205" t="s">
        <v>147</v>
      </c>
      <c r="C112" s="206">
        <v>6.0</v>
      </c>
      <c r="D112" s="206">
        <v>4.0</v>
      </c>
      <c r="E112" s="207">
        <v>2.0</v>
      </c>
      <c r="F112" s="28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4.25" customHeight="1">
      <c r="A113" s="44"/>
      <c r="B113" s="202" t="s">
        <v>148</v>
      </c>
      <c r="C113" s="203">
        <v>6.0</v>
      </c>
      <c r="D113" s="203">
        <v>6.0</v>
      </c>
      <c r="E113" s="204">
        <v>4.0</v>
      </c>
      <c r="F113" s="28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4.25" customHeight="1">
      <c r="A114" s="44"/>
      <c r="B114" s="205" t="s">
        <v>149</v>
      </c>
      <c r="C114" s="206">
        <v>6.0</v>
      </c>
      <c r="D114" s="206">
        <v>4.0</v>
      </c>
      <c r="E114" s="207">
        <v>2.0</v>
      </c>
      <c r="F114" s="28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4.25" customHeight="1">
      <c r="A115" s="44"/>
      <c r="B115" s="202" t="s">
        <v>150</v>
      </c>
      <c r="C115" s="203">
        <v>6.0</v>
      </c>
      <c r="D115" s="203">
        <v>4.0</v>
      </c>
      <c r="E115" s="204">
        <v>2.0</v>
      </c>
      <c r="F115" s="28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4.25" customHeight="1">
      <c r="A116" s="44"/>
      <c r="B116" s="205" t="s">
        <v>151</v>
      </c>
      <c r="C116" s="206">
        <v>5.0</v>
      </c>
      <c r="D116" s="206">
        <v>4.0</v>
      </c>
      <c r="E116" s="207">
        <v>2.0</v>
      </c>
      <c r="F116" s="28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4.25" customHeight="1">
      <c r="A117" s="44"/>
      <c r="B117" s="202" t="s">
        <v>152</v>
      </c>
      <c r="C117" s="203">
        <v>6.0</v>
      </c>
      <c r="D117" s="203">
        <v>7.0</v>
      </c>
      <c r="E117" s="204">
        <v>3.0</v>
      </c>
      <c r="F117" s="28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4.25" customHeight="1">
      <c r="A118" s="44"/>
      <c r="B118" s="205" t="s">
        <v>153</v>
      </c>
      <c r="C118" s="206">
        <v>6.0</v>
      </c>
      <c r="D118" s="206">
        <v>5.0</v>
      </c>
      <c r="E118" s="207">
        <v>4.0</v>
      </c>
      <c r="F118" s="28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4.25" customHeight="1">
      <c r="A119" s="44"/>
      <c r="B119" s="202" t="s">
        <v>154</v>
      </c>
      <c r="C119" s="203">
        <v>6.0</v>
      </c>
      <c r="D119" s="203">
        <v>6.0</v>
      </c>
      <c r="E119" s="204">
        <v>4.0</v>
      </c>
      <c r="F119" s="28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4.25" customHeight="1">
      <c r="A120" s="44"/>
      <c r="B120" s="205" t="s">
        <v>155</v>
      </c>
      <c r="C120" s="206">
        <v>3.0</v>
      </c>
      <c r="D120" s="206">
        <v>7.0</v>
      </c>
      <c r="E120" s="207">
        <v>3.0</v>
      </c>
      <c r="F120" s="28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4.25" customHeight="1">
      <c r="A121" s="44"/>
      <c r="B121" s="202" t="s">
        <v>156</v>
      </c>
      <c r="C121" s="203">
        <v>6.0</v>
      </c>
      <c r="D121" s="203">
        <v>6.0</v>
      </c>
      <c r="E121" s="204">
        <v>4.0</v>
      </c>
      <c r="F121" s="28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4.25" customHeight="1">
      <c r="A122" s="44"/>
      <c r="B122" s="205" t="s">
        <v>157</v>
      </c>
      <c r="C122" s="206">
        <v>6.0</v>
      </c>
      <c r="D122" s="206">
        <v>6.0</v>
      </c>
      <c r="E122" s="207">
        <v>4.0</v>
      </c>
      <c r="F122" s="28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4.25" customHeight="1">
      <c r="A123" s="44"/>
      <c r="B123" s="202" t="s">
        <v>158</v>
      </c>
      <c r="C123" s="203">
        <v>6.0</v>
      </c>
      <c r="D123" s="203">
        <v>5.0</v>
      </c>
      <c r="E123" s="204">
        <v>2.0</v>
      </c>
      <c r="F123" s="28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4.25" customHeight="1">
      <c r="A124" s="44"/>
      <c r="B124" s="205" t="s">
        <v>159</v>
      </c>
      <c r="C124" s="206">
        <v>6.0</v>
      </c>
      <c r="D124" s="206">
        <v>6.0</v>
      </c>
      <c r="E124" s="207">
        <v>4.0</v>
      </c>
      <c r="F124" s="28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4.25" customHeight="1">
      <c r="A125" s="44"/>
      <c r="B125" s="202" t="s">
        <v>160</v>
      </c>
      <c r="C125" s="203">
        <v>2.0</v>
      </c>
      <c r="D125" s="203">
        <v>3.0</v>
      </c>
      <c r="E125" s="204">
        <v>1.0</v>
      </c>
      <c r="F125" s="28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4.25" customHeight="1">
      <c r="A126" s="44"/>
      <c r="B126" s="205" t="s">
        <v>161</v>
      </c>
      <c r="C126" s="206">
        <v>6.0</v>
      </c>
      <c r="D126" s="206">
        <v>6.0</v>
      </c>
      <c r="E126" s="207">
        <v>4.0</v>
      </c>
      <c r="F126" s="28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4.25" customHeight="1">
      <c r="A127" s="44"/>
      <c r="B127" s="202" t="s">
        <v>162</v>
      </c>
      <c r="C127" s="203">
        <v>6.0</v>
      </c>
      <c r="D127" s="203">
        <v>6.0</v>
      </c>
      <c r="E127" s="204">
        <v>4.0</v>
      </c>
      <c r="F127" s="28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4.25" customHeight="1">
      <c r="A128" s="44"/>
      <c r="B128" s="205" t="s">
        <v>163</v>
      </c>
      <c r="C128" s="206">
        <v>6.0</v>
      </c>
      <c r="D128" s="206">
        <v>6.0</v>
      </c>
      <c r="E128" s="207" t="s">
        <v>123</v>
      </c>
      <c r="F128" s="28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4.25" customHeight="1">
      <c r="A129" s="44"/>
      <c r="B129" s="202" t="s">
        <v>164</v>
      </c>
      <c r="C129" s="203">
        <v>1.0</v>
      </c>
      <c r="D129" s="203">
        <v>3.0</v>
      </c>
      <c r="E129" s="204">
        <v>1.0</v>
      </c>
      <c r="F129" s="28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4.25" customHeight="1">
      <c r="A130" s="44"/>
      <c r="B130" s="205" t="s">
        <v>165</v>
      </c>
      <c r="C130" s="206">
        <v>6.0</v>
      </c>
      <c r="D130" s="206">
        <v>5.0</v>
      </c>
      <c r="E130" s="207">
        <v>4.0</v>
      </c>
      <c r="F130" s="28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4.25" customHeight="1">
      <c r="A131" s="44"/>
      <c r="B131" s="202" t="s">
        <v>166</v>
      </c>
      <c r="C131" s="203">
        <v>6.0</v>
      </c>
      <c r="D131" s="203">
        <v>4.0</v>
      </c>
      <c r="E131" s="204">
        <v>2.0</v>
      </c>
      <c r="F131" s="28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4.25" customHeight="1">
      <c r="A132" s="44"/>
      <c r="B132" s="205" t="s">
        <v>167</v>
      </c>
      <c r="C132" s="206">
        <v>6.0</v>
      </c>
      <c r="D132" s="206">
        <v>6.0</v>
      </c>
      <c r="E132" s="207">
        <v>4.0</v>
      </c>
      <c r="F132" s="28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4.25" customHeight="1">
      <c r="A133" s="44"/>
      <c r="B133" s="202" t="s">
        <v>168</v>
      </c>
      <c r="C133" s="203">
        <v>6.0</v>
      </c>
      <c r="D133" s="203">
        <v>5.0</v>
      </c>
      <c r="E133" s="204">
        <v>4.0</v>
      </c>
      <c r="F133" s="28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4.25" customHeight="1">
      <c r="A134" s="44"/>
      <c r="B134" s="205" t="s">
        <v>169</v>
      </c>
      <c r="C134" s="206">
        <v>2.0</v>
      </c>
      <c r="D134" s="206">
        <v>3.0</v>
      </c>
      <c r="E134" s="207">
        <v>1.0</v>
      </c>
      <c r="F134" s="28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4.25" customHeight="1">
      <c r="A135" s="44"/>
      <c r="B135" s="202" t="s">
        <v>170</v>
      </c>
      <c r="C135" s="203">
        <v>6.0</v>
      </c>
      <c r="D135" s="203">
        <v>6.0</v>
      </c>
      <c r="E135" s="204">
        <v>4.0</v>
      </c>
      <c r="F135" s="28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4.25" customHeight="1">
      <c r="A136" s="44"/>
      <c r="B136" s="205" t="s">
        <v>171</v>
      </c>
      <c r="C136" s="206">
        <v>6.0</v>
      </c>
      <c r="D136" s="206">
        <v>6.0</v>
      </c>
      <c r="E136" s="207">
        <v>4.0</v>
      </c>
      <c r="F136" s="28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4.25" customHeight="1">
      <c r="A137" s="44"/>
      <c r="B137" s="202" t="s">
        <v>172</v>
      </c>
      <c r="C137" s="203">
        <v>6.0</v>
      </c>
      <c r="D137" s="203">
        <v>6.0</v>
      </c>
      <c r="E137" s="204">
        <v>4.0</v>
      </c>
      <c r="F137" s="28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4.25" customHeight="1">
      <c r="A138" s="44"/>
      <c r="B138" s="205" t="s">
        <v>173</v>
      </c>
      <c r="C138" s="206">
        <v>2.0</v>
      </c>
      <c r="D138" s="206">
        <v>3.0</v>
      </c>
      <c r="E138" s="207">
        <v>1.0</v>
      </c>
      <c r="F138" s="28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4.25" customHeight="1">
      <c r="A139" s="44"/>
      <c r="B139" s="202" t="s">
        <v>174</v>
      </c>
      <c r="C139" s="203">
        <v>6.0</v>
      </c>
      <c r="D139" s="203">
        <v>6.0</v>
      </c>
      <c r="E139" s="204">
        <v>4.0</v>
      </c>
      <c r="F139" s="28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4.25" customHeight="1">
      <c r="A140" s="44"/>
      <c r="B140" s="205" t="s">
        <v>175</v>
      </c>
      <c r="C140" s="206">
        <v>6.0</v>
      </c>
      <c r="D140" s="206">
        <v>6.0</v>
      </c>
      <c r="E140" s="207">
        <v>4.0</v>
      </c>
      <c r="F140" s="28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4.25" customHeight="1">
      <c r="A141" s="44"/>
      <c r="B141" s="202" t="s">
        <v>176</v>
      </c>
      <c r="C141" s="203">
        <v>6.0</v>
      </c>
      <c r="D141" s="203">
        <v>4.0</v>
      </c>
      <c r="E141" s="204">
        <v>2.0</v>
      </c>
      <c r="F141" s="28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4.25" customHeight="1">
      <c r="A142" s="44"/>
      <c r="B142" s="205" t="s">
        <v>177</v>
      </c>
      <c r="C142" s="206">
        <v>6.0</v>
      </c>
      <c r="D142" s="206">
        <v>6.0</v>
      </c>
      <c r="E142" s="207">
        <v>4.0</v>
      </c>
      <c r="F142" s="28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4.25" customHeight="1">
      <c r="A143" s="44"/>
      <c r="B143" s="202" t="s">
        <v>178</v>
      </c>
      <c r="C143" s="203">
        <v>6.0</v>
      </c>
      <c r="D143" s="203">
        <v>5.0</v>
      </c>
      <c r="E143" s="204">
        <v>3.0</v>
      </c>
      <c r="F143" s="28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4.25" customHeight="1">
      <c r="A144" s="44"/>
      <c r="B144" s="205" t="s">
        <v>179</v>
      </c>
      <c r="C144" s="206">
        <v>6.0</v>
      </c>
      <c r="D144" s="206">
        <v>6.0</v>
      </c>
      <c r="E144" s="207">
        <v>4.0</v>
      </c>
      <c r="F144" s="28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4.25" customHeight="1">
      <c r="A145" s="44"/>
      <c r="B145" s="202" t="s">
        <v>180</v>
      </c>
      <c r="C145" s="203">
        <v>6.0</v>
      </c>
      <c r="D145" s="203">
        <v>4.0</v>
      </c>
      <c r="E145" s="204">
        <v>2.0</v>
      </c>
      <c r="F145" s="28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4.25" customHeight="1">
      <c r="A146" s="44"/>
      <c r="B146" s="205" t="s">
        <v>181</v>
      </c>
      <c r="C146" s="206">
        <v>6.0</v>
      </c>
      <c r="D146" s="206">
        <v>6.0</v>
      </c>
      <c r="E146" s="207">
        <v>4.0</v>
      </c>
      <c r="F146" s="28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4.25" customHeight="1">
      <c r="A147" s="44"/>
      <c r="B147" s="202" t="s">
        <v>182</v>
      </c>
      <c r="C147" s="203">
        <v>2.0</v>
      </c>
      <c r="D147" s="203">
        <v>3.0</v>
      </c>
      <c r="E147" s="204">
        <v>1.0</v>
      </c>
      <c r="F147" s="28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4.25" customHeight="1">
      <c r="A148" s="44"/>
      <c r="B148" s="205" t="s">
        <v>183</v>
      </c>
      <c r="C148" s="206">
        <v>1.0</v>
      </c>
      <c r="D148" s="206">
        <v>1.0</v>
      </c>
      <c r="E148" s="207">
        <v>1.0</v>
      </c>
      <c r="F148" s="28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4.25" customHeight="1">
      <c r="A149" s="44"/>
      <c r="B149" s="202" t="s">
        <v>184</v>
      </c>
      <c r="C149" s="203">
        <v>1.0</v>
      </c>
      <c r="D149" s="203">
        <v>2.0</v>
      </c>
      <c r="E149" s="204">
        <v>1.0</v>
      </c>
      <c r="F149" s="28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4.25" customHeight="1">
      <c r="A150" s="44"/>
      <c r="B150" s="205" t="s">
        <v>185</v>
      </c>
      <c r="C150" s="206">
        <v>6.0</v>
      </c>
      <c r="D150" s="206">
        <v>6.0</v>
      </c>
      <c r="E150" s="207">
        <v>4.0</v>
      </c>
      <c r="F150" s="28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4.25" customHeight="1">
      <c r="A151" s="44"/>
      <c r="B151" s="202" t="s">
        <v>186</v>
      </c>
      <c r="C151" s="203">
        <v>6.0</v>
      </c>
      <c r="D151" s="203">
        <v>4.0</v>
      </c>
      <c r="E151" s="204">
        <v>2.0</v>
      </c>
      <c r="F151" s="28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4.25" customHeight="1">
      <c r="A152" s="44"/>
      <c r="B152" s="205" t="s">
        <v>187</v>
      </c>
      <c r="C152" s="206">
        <v>4.0</v>
      </c>
      <c r="D152" s="206">
        <v>4.0</v>
      </c>
      <c r="E152" s="207">
        <v>2.0</v>
      </c>
      <c r="F152" s="28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4.25" customHeight="1">
      <c r="A153" s="44"/>
      <c r="B153" s="202" t="s">
        <v>188</v>
      </c>
      <c r="C153" s="203">
        <v>2.0</v>
      </c>
      <c r="D153" s="203">
        <v>3.0</v>
      </c>
      <c r="E153" s="204">
        <v>1.0</v>
      </c>
      <c r="F153" s="28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4.25" customHeight="1">
      <c r="A154" s="44"/>
      <c r="B154" s="205" t="s">
        <v>189</v>
      </c>
      <c r="C154" s="206">
        <v>6.0</v>
      </c>
      <c r="D154" s="206">
        <v>6.0</v>
      </c>
      <c r="E154" s="207">
        <v>4.0</v>
      </c>
      <c r="F154" s="28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4.25" customHeight="1">
      <c r="A155" s="44"/>
      <c r="B155" s="202" t="s">
        <v>190</v>
      </c>
      <c r="C155" s="203">
        <v>5.0</v>
      </c>
      <c r="D155" s="203">
        <v>4.0</v>
      </c>
      <c r="E155" s="204">
        <v>2.0</v>
      </c>
      <c r="F155" s="28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4.25" customHeight="1">
      <c r="A156" s="44"/>
      <c r="B156" s="205" t="s">
        <v>191</v>
      </c>
      <c r="C156" s="206">
        <v>6.0</v>
      </c>
      <c r="D156" s="206">
        <v>4.0</v>
      </c>
      <c r="E156" s="207">
        <v>2.0</v>
      </c>
      <c r="F156" s="28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4.25" customHeight="1">
      <c r="A157" s="44"/>
      <c r="B157" s="202" t="s">
        <v>192</v>
      </c>
      <c r="C157" s="203">
        <v>6.0</v>
      </c>
      <c r="D157" s="203">
        <v>6.0</v>
      </c>
      <c r="E157" s="204" t="s">
        <v>123</v>
      </c>
      <c r="F157" s="28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4.25" customHeight="1">
      <c r="A158" s="44"/>
      <c r="B158" s="205" t="s">
        <v>193</v>
      </c>
      <c r="C158" s="206">
        <v>6.0</v>
      </c>
      <c r="D158" s="206">
        <v>6.0</v>
      </c>
      <c r="E158" s="207">
        <v>4.0</v>
      </c>
      <c r="F158" s="28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4.25" customHeight="1">
      <c r="A159" s="44"/>
      <c r="B159" s="202" t="s">
        <v>194</v>
      </c>
      <c r="C159" s="203">
        <v>2.0</v>
      </c>
      <c r="D159" s="203">
        <v>3.0</v>
      </c>
      <c r="E159" s="204">
        <v>1.0</v>
      </c>
      <c r="F159" s="28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4.25" customHeight="1">
      <c r="A160" s="44"/>
      <c r="B160" s="205" t="s">
        <v>195</v>
      </c>
      <c r="C160" s="206">
        <v>6.0</v>
      </c>
      <c r="D160" s="206">
        <v>6.0</v>
      </c>
      <c r="E160" s="207">
        <v>4.0</v>
      </c>
      <c r="F160" s="28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4.25" customHeight="1">
      <c r="A161" s="44"/>
      <c r="B161" s="202" t="s">
        <v>196</v>
      </c>
      <c r="C161" s="203">
        <v>6.0</v>
      </c>
      <c r="D161" s="203">
        <v>4.0</v>
      </c>
      <c r="E161" s="204">
        <v>2.0</v>
      </c>
      <c r="F161" s="28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4.25" customHeight="1">
      <c r="A162" s="44"/>
      <c r="B162" s="205" t="s">
        <v>197</v>
      </c>
      <c r="C162" s="206">
        <v>6.0</v>
      </c>
      <c r="D162" s="206">
        <v>4.0</v>
      </c>
      <c r="E162" s="207">
        <v>2.0</v>
      </c>
      <c r="F162" s="28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4.25" customHeight="1">
      <c r="A163" s="44"/>
      <c r="B163" s="202" t="s">
        <v>198</v>
      </c>
      <c r="C163" s="203">
        <v>2.0</v>
      </c>
      <c r="D163" s="203">
        <v>3.0</v>
      </c>
      <c r="E163" s="204">
        <v>1.0</v>
      </c>
      <c r="F163" s="28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4.25" customHeight="1">
      <c r="A164" s="44"/>
      <c r="B164" s="205" t="s">
        <v>199</v>
      </c>
      <c r="C164" s="206">
        <v>6.0</v>
      </c>
      <c r="D164" s="206">
        <v>6.0</v>
      </c>
      <c r="E164" s="207">
        <v>4.0</v>
      </c>
      <c r="F164" s="28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4.25" customHeight="1">
      <c r="A165" s="44"/>
      <c r="B165" s="202" t="s">
        <v>200</v>
      </c>
      <c r="C165" s="203">
        <v>6.0</v>
      </c>
      <c r="D165" s="203">
        <v>6.0</v>
      </c>
      <c r="E165" s="204">
        <v>4.0</v>
      </c>
      <c r="F165" s="28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4.25" customHeight="1">
      <c r="A166" s="44"/>
      <c r="B166" s="205" t="s">
        <v>201</v>
      </c>
      <c r="C166" s="206">
        <v>2.0</v>
      </c>
      <c r="D166" s="206">
        <v>6.0</v>
      </c>
      <c r="E166" s="207" t="s">
        <v>123</v>
      </c>
      <c r="F166" s="28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4.25" customHeight="1">
      <c r="A167" s="44"/>
      <c r="B167" s="202" t="s">
        <v>202</v>
      </c>
      <c r="C167" s="203">
        <v>2.0</v>
      </c>
      <c r="D167" s="203">
        <v>3.0</v>
      </c>
      <c r="E167" s="204">
        <v>1.0</v>
      </c>
      <c r="F167" s="28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4.25" customHeight="1">
      <c r="A168" s="44"/>
      <c r="B168" s="205" t="s">
        <v>203</v>
      </c>
      <c r="C168" s="206">
        <v>4.0</v>
      </c>
      <c r="D168" s="206">
        <v>6.0</v>
      </c>
      <c r="E168" s="207" t="s">
        <v>123</v>
      </c>
      <c r="F168" s="28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4.25" customHeight="1">
      <c r="A169" s="44"/>
      <c r="B169" s="202" t="s">
        <v>204</v>
      </c>
      <c r="C169" s="203">
        <v>2.0</v>
      </c>
      <c r="D169" s="203">
        <v>3.0</v>
      </c>
      <c r="E169" s="204">
        <v>1.0</v>
      </c>
      <c r="F169" s="28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4.25" customHeight="1">
      <c r="A170" s="44"/>
      <c r="B170" s="205" t="s">
        <v>205</v>
      </c>
      <c r="C170" s="206">
        <v>2.0</v>
      </c>
      <c r="D170" s="206">
        <v>3.0</v>
      </c>
      <c r="E170" s="207">
        <v>1.0</v>
      </c>
      <c r="F170" s="28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4.25" customHeight="1">
      <c r="A171" s="44"/>
      <c r="B171" s="202" t="s">
        <v>206</v>
      </c>
      <c r="C171" s="203">
        <v>6.0</v>
      </c>
      <c r="D171" s="203">
        <v>6.0</v>
      </c>
      <c r="E171" s="204">
        <v>4.0</v>
      </c>
      <c r="F171" s="28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4.25" customHeight="1">
      <c r="A172" s="44"/>
      <c r="B172" s="205" t="s">
        <v>207</v>
      </c>
      <c r="C172" s="206">
        <v>6.0</v>
      </c>
      <c r="D172" s="206">
        <v>5.0</v>
      </c>
      <c r="E172" s="207">
        <v>4.0</v>
      </c>
      <c r="F172" s="28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4.25" customHeight="1">
      <c r="A173" s="44"/>
      <c r="B173" s="202" t="s">
        <v>208</v>
      </c>
      <c r="C173" s="203">
        <v>6.0</v>
      </c>
      <c r="D173" s="203">
        <v>6.0</v>
      </c>
      <c r="E173" s="204">
        <v>4.0</v>
      </c>
      <c r="F173" s="28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4.25" customHeight="1">
      <c r="A174" s="44"/>
      <c r="B174" s="205" t="s">
        <v>209</v>
      </c>
      <c r="C174" s="206">
        <v>3.0</v>
      </c>
      <c r="D174" s="206">
        <v>7.0</v>
      </c>
      <c r="E174" s="207">
        <v>3.0</v>
      </c>
      <c r="F174" s="28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4.25" customHeight="1">
      <c r="A175" s="44"/>
      <c r="B175" s="202" t="s">
        <v>210</v>
      </c>
      <c r="C175" s="203">
        <v>2.0</v>
      </c>
      <c r="D175" s="203">
        <v>3.0</v>
      </c>
      <c r="E175" s="204">
        <v>1.0</v>
      </c>
      <c r="F175" s="28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4.25" customHeight="1">
      <c r="A176" s="44"/>
      <c r="B176" s="205" t="s">
        <v>211</v>
      </c>
      <c r="C176" s="206">
        <v>6.0</v>
      </c>
      <c r="D176" s="206">
        <v>6.0</v>
      </c>
      <c r="E176" s="207">
        <v>4.0</v>
      </c>
      <c r="F176" s="28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4.25" customHeight="1">
      <c r="A177" s="44"/>
      <c r="B177" s="202" t="s">
        <v>212</v>
      </c>
      <c r="C177" s="203">
        <v>6.0</v>
      </c>
      <c r="D177" s="203">
        <v>6.0</v>
      </c>
      <c r="E177" s="204">
        <v>4.0</v>
      </c>
      <c r="F177" s="28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4.25" customHeight="1">
      <c r="A178" s="44"/>
      <c r="B178" s="205" t="s">
        <v>213</v>
      </c>
      <c r="C178" s="206">
        <v>6.0</v>
      </c>
      <c r="D178" s="206">
        <v>6.0</v>
      </c>
      <c r="E178" s="207">
        <v>2.0</v>
      </c>
      <c r="F178" s="28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4.25" customHeight="1">
      <c r="A179" s="44"/>
      <c r="B179" s="202" t="s">
        <v>214</v>
      </c>
      <c r="C179" s="203">
        <v>4.0</v>
      </c>
      <c r="D179" s="203">
        <v>4.0</v>
      </c>
      <c r="E179" s="204">
        <v>2.0</v>
      </c>
      <c r="F179" s="28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4.25" customHeight="1">
      <c r="A180" s="44"/>
      <c r="B180" s="205" t="s">
        <v>215</v>
      </c>
      <c r="C180" s="206">
        <v>6.0</v>
      </c>
      <c r="D180" s="206">
        <v>4.0</v>
      </c>
      <c r="E180" s="207">
        <v>2.0</v>
      </c>
      <c r="F180" s="28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4.25" customHeight="1">
      <c r="A181" s="44"/>
      <c r="B181" s="202" t="s">
        <v>216</v>
      </c>
      <c r="C181" s="203">
        <v>2.0</v>
      </c>
      <c r="D181" s="203">
        <v>2.0</v>
      </c>
      <c r="E181" s="204">
        <v>1.0</v>
      </c>
      <c r="F181" s="28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4.25" customHeight="1">
      <c r="A182" s="44"/>
      <c r="B182" s="205" t="s">
        <v>217</v>
      </c>
      <c r="C182" s="206">
        <v>3.0</v>
      </c>
      <c r="D182" s="206">
        <v>7.0</v>
      </c>
      <c r="E182" s="207">
        <v>3.0</v>
      </c>
      <c r="F182" s="28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4.25" customHeight="1">
      <c r="A183" s="44"/>
      <c r="B183" s="202" t="s">
        <v>218</v>
      </c>
      <c r="C183" s="203">
        <v>3.0</v>
      </c>
      <c r="D183" s="203">
        <v>7.0</v>
      </c>
      <c r="E183" s="204">
        <v>3.0</v>
      </c>
      <c r="F183" s="28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4.25" customHeight="1">
      <c r="A184" s="44"/>
      <c r="B184" s="205" t="s">
        <v>219</v>
      </c>
      <c r="C184" s="206">
        <v>6.0</v>
      </c>
      <c r="D184" s="206">
        <v>6.0</v>
      </c>
      <c r="E184" s="207">
        <v>4.0</v>
      </c>
      <c r="F184" s="28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4.25" customHeight="1">
      <c r="A185" s="44"/>
      <c r="B185" s="202" t="s">
        <v>220</v>
      </c>
      <c r="C185" s="203">
        <v>6.0</v>
      </c>
      <c r="D185" s="203">
        <v>6.0</v>
      </c>
      <c r="E185" s="204">
        <v>4.0</v>
      </c>
      <c r="F185" s="28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4.25" customHeight="1">
      <c r="A186" s="44"/>
      <c r="B186" s="205" t="s">
        <v>221</v>
      </c>
      <c r="C186" s="206">
        <v>2.0</v>
      </c>
      <c r="D186" s="206">
        <v>3.0</v>
      </c>
      <c r="E186" s="207">
        <v>1.0</v>
      </c>
      <c r="F186" s="28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4.25" customHeight="1">
      <c r="A187" s="44"/>
      <c r="B187" s="202" t="s">
        <v>222</v>
      </c>
      <c r="C187" s="203">
        <v>6.0</v>
      </c>
      <c r="D187" s="203">
        <v>6.0</v>
      </c>
      <c r="E187" s="204">
        <v>4.0</v>
      </c>
      <c r="F187" s="28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4.25" customHeight="1">
      <c r="A188" s="44"/>
      <c r="B188" s="205" t="s">
        <v>223</v>
      </c>
      <c r="C188" s="206">
        <v>6.0</v>
      </c>
      <c r="D188" s="206">
        <v>6.0</v>
      </c>
      <c r="E188" s="207">
        <v>4.0</v>
      </c>
      <c r="F188" s="28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4.25" customHeight="1">
      <c r="A189" s="44"/>
      <c r="B189" s="202" t="s">
        <v>224</v>
      </c>
      <c r="C189" s="203">
        <v>6.0</v>
      </c>
      <c r="D189" s="203">
        <v>4.0</v>
      </c>
      <c r="E189" s="204">
        <v>4.0</v>
      </c>
      <c r="F189" s="28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4.25" customHeight="1">
      <c r="A190" s="44"/>
      <c r="B190" s="205" t="s">
        <v>225</v>
      </c>
      <c r="C190" s="206">
        <v>6.0</v>
      </c>
      <c r="D190" s="206">
        <v>6.0</v>
      </c>
      <c r="E190" s="207">
        <v>4.0</v>
      </c>
      <c r="F190" s="28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4.25" customHeight="1">
      <c r="A191" s="44"/>
      <c r="B191" s="202" t="s">
        <v>226</v>
      </c>
      <c r="C191" s="203">
        <v>1.0</v>
      </c>
      <c r="D191" s="203">
        <v>1.0</v>
      </c>
      <c r="E191" s="204">
        <v>1.0</v>
      </c>
      <c r="F191" s="28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4.25" customHeight="1">
      <c r="A192" s="44"/>
      <c r="B192" s="205" t="s">
        <v>227</v>
      </c>
      <c r="C192" s="206">
        <v>6.0</v>
      </c>
      <c r="D192" s="206">
        <v>5.0</v>
      </c>
      <c r="E192" s="207">
        <v>4.0</v>
      </c>
      <c r="F192" s="28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4.25" customHeight="1">
      <c r="A193" s="44"/>
      <c r="B193" s="202" t="s">
        <v>228</v>
      </c>
      <c r="C193" s="203">
        <v>1.0</v>
      </c>
      <c r="D193" s="203">
        <v>2.0</v>
      </c>
      <c r="E193" s="204">
        <v>1.0</v>
      </c>
      <c r="F193" s="28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4.25" customHeight="1">
      <c r="A194" s="44"/>
      <c r="B194" s="205" t="s">
        <v>229</v>
      </c>
      <c r="C194" s="206">
        <v>6.0</v>
      </c>
      <c r="D194" s="206">
        <v>7.0</v>
      </c>
      <c r="E194" s="207">
        <v>3.0</v>
      </c>
      <c r="F194" s="28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4.25" customHeight="1">
      <c r="A195" s="44"/>
      <c r="B195" s="202" t="s">
        <v>230</v>
      </c>
      <c r="C195" s="203">
        <v>6.0</v>
      </c>
      <c r="D195" s="203">
        <v>6.0</v>
      </c>
      <c r="E195" s="204">
        <v>4.0</v>
      </c>
      <c r="F195" s="28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4.25" customHeight="1">
      <c r="A196" s="44"/>
      <c r="B196" s="208" t="s">
        <v>231</v>
      </c>
      <c r="C196" s="209">
        <v>6.0</v>
      </c>
      <c r="D196" s="209">
        <v>6.0</v>
      </c>
      <c r="E196" s="210">
        <v>4.0</v>
      </c>
      <c r="F196" s="28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